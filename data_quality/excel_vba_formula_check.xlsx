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ve_Excel_Formula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9"/>
    </font>
    <font>
      <name val="Calibri"/>
      <b val="1"/>
      <color rgb="00475569"/>
      <sz val="9"/>
    </font>
    <font>
      <name val="Calibri"/>
      <b val="1"/>
      <color rgb="000F172A"/>
      <sz val="16"/>
    </font>
    <font>
      <name val="Calibri"/>
      <b val="1"/>
      <color rgb="000D9488"/>
      <sz val="16"/>
    </font>
    <font>
      <name val="Calibri"/>
      <b val="1"/>
      <color rgb="00FFFFFF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2" borderId="1" pivotButton="0" quotePrefix="0" xfId="0"/>
    <xf numFmtId="1" fontId="4" fillId="2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6" customWidth="1" min="32" max="32"/>
  </cols>
  <sheetData>
    <row r="1">
      <c r="A1" s="1" t="inlineStr">
        <is>
          <t>MERIDIAN BIOPHARMA GLOBAL OPERATIONS | PURE NATIVE EXCEL FORMULA AUDITOR</t>
        </is>
      </c>
    </row>
    <row r="2">
      <c r="A2" s="2" t="inlineStr">
        <is>
          <t>Live formula-driven audit demonstrating client-side Excel validation rules without Python backend</t>
        </is>
      </c>
    </row>
    <row r="3">
      <c r="A3" s="3" t="inlineStr">
        <is>
          <t>TOTAL MEETINGS</t>
        </is>
      </c>
      <c r="B3" s="4" t="n"/>
      <c r="C3" s="3" t="inlineStr">
        <is>
          <t>CLEAN RECORDS</t>
        </is>
      </c>
      <c r="D3" s="4" t="n"/>
      <c r="E3" s="3" t="inlineStr">
        <is>
          <t>FLAGGED DEFICIENCIES</t>
        </is>
      </c>
      <c r="F3" s="4" t="n"/>
      <c r="G3" s="3" t="inlineStr">
        <is>
          <t>PORTFOLIO ACCURACY %</t>
        </is>
      </c>
      <c r="H3" s="4" t="n"/>
    </row>
    <row r="4">
      <c r="A4" s="5">
        <f>COUNTA(A7:A106)</f>
        <v/>
      </c>
      <c r="B4" s="4" t="n"/>
      <c r="C4" s="5">
        <f>COUNTIF(AF7:AF106, "CLEAN")</f>
        <v/>
      </c>
      <c r="D4" s="4" t="n"/>
      <c r="E4" s="5">
        <f>COUNTIF(AF7:AF106, "FLAGGED")</f>
        <v/>
      </c>
      <c r="F4" s="4" t="n"/>
      <c r="G4" s="6">
        <f>COUNTIF(AF7:AF106, "CLEAN")/COUNTA(A7:A106)</f>
        <v/>
      </c>
      <c r="H4" s="4" t="n"/>
    </row>
    <row r="5"/>
    <row r="6">
      <c r="A6" s="7" t="inlineStr">
        <is>
          <t>Meeting_ID</t>
        </is>
      </c>
      <c r="B6" s="7" t="inlineStr">
        <is>
          <t>Business_Unit</t>
        </is>
      </c>
      <c r="C6" s="7" t="inlineStr">
        <is>
          <t>Meeting_Type</t>
        </is>
      </c>
      <c r="D6" s="7" t="inlineStr">
        <is>
          <t>Cost_Center</t>
        </is>
      </c>
      <c r="E6" s="7" t="inlineStr">
        <is>
          <t>WBS_Code</t>
        </is>
      </c>
      <c r="F6" s="7" t="inlineStr">
        <is>
          <t>Country_Code</t>
        </is>
      </c>
      <c r="G6" s="7" t="inlineStr">
        <is>
          <t>Start_Date</t>
        </is>
      </c>
      <c r="H6" s="7" t="inlineStr">
        <is>
          <t>End_Date</t>
        </is>
      </c>
      <c r="I6" s="7" t="inlineStr">
        <is>
          <t>Lead_Time_Days</t>
        </is>
      </c>
      <c r="J6" s="7" t="inlineStr">
        <is>
          <t>Spend_Variance_Pct</t>
        </is>
      </c>
      <c r="K6" s="7" t="inlineStr">
        <is>
          <t>Actual_Spend_USD</t>
        </is>
      </c>
      <c r="L6" s="7" t="inlineStr">
        <is>
          <t>Budget_Estimated_USD</t>
        </is>
      </c>
      <c r="M6" s="7" t="inlineStr">
        <is>
          <t>Payment_Method</t>
        </is>
      </c>
      <c r="N6" s="7" t="inlineStr">
        <is>
          <t>Card_Reconciled</t>
        </is>
      </c>
      <c r="O6" s="7" t="inlineStr">
        <is>
          <t>HCP_Count</t>
        </is>
      </c>
      <c r="P6" s="7" t="inlineStr">
        <is>
          <t>HCP_NPIs</t>
        </is>
      </c>
      <c r="Q6" s="7" t="inlineStr">
        <is>
          <t>FMV_Compliant</t>
        </is>
      </c>
      <c r="R6" s="7" t="inlineStr">
        <is>
          <t>Cross_Border</t>
        </is>
      </c>
      <c r="S6" s="7" t="inlineStr">
        <is>
          <t>Cvent_ID</t>
        </is>
      </c>
      <c r="T6" s="7" t="inlineStr">
        <is>
          <t>Concur_ID</t>
        </is>
      </c>
      <c r="U6" s="7" t="inlineStr">
        <is>
          <t>Roster_Captured</t>
        </is>
      </c>
      <c r="V6" s="7" t="inlineStr">
        <is>
          <t>Days_To_Roster</t>
        </is>
      </c>
      <c r="W6" s="7" t="inlineStr">
        <is>
          <t>Sunshine_Reportable</t>
        </is>
      </c>
      <c r="X6" s="7" t="inlineStr">
        <is>
          <t>Compliance_Status</t>
        </is>
      </c>
      <c r="Y6" s="8" t="inlineStr">
        <is>
          <t>CHK_CORE_ID</t>
        </is>
      </c>
      <c r="Z6" s="8" t="inlineStr">
        <is>
          <t>CHK_DATES</t>
        </is>
      </c>
      <c r="AA6" s="8" t="inlineStr">
        <is>
          <t>CHK_CVENT_SMM</t>
        </is>
      </c>
      <c r="AB6" s="8" t="inlineStr">
        <is>
          <t>CHK_US_NPI</t>
        </is>
      </c>
      <c r="AC6" s="8" t="inlineStr">
        <is>
          <t>CHK_CARD_RECON</t>
        </is>
      </c>
      <c r="AD6" s="8" t="inlineStr">
        <is>
          <t>CHK_ROSTER_LAG</t>
        </is>
      </c>
      <c r="AE6" s="8" t="inlineStr">
        <is>
          <t>CHK_VARIANCE</t>
        </is>
      </c>
      <c r="AF6" s="8" t="inlineStr">
        <is>
          <t>RECORD_STATUS</t>
        </is>
      </c>
    </row>
    <row r="7">
      <c r="A7" s="9" t="inlineStr">
        <is>
          <t>MTG-2026-10001</t>
        </is>
      </c>
      <c r="B7" s="9" t="inlineStr">
        <is>
          <t>Oncology</t>
        </is>
      </c>
      <c r="C7" s="9" t="inlineStr">
        <is>
          <t>Investigator_Meeting</t>
        </is>
      </c>
      <c r="D7" s="9" t="inlineStr">
        <is>
          <t>CC-ONC-8821</t>
        </is>
      </c>
      <c r="E7" s="9" t="inlineStr">
        <is>
          <t>WBS-ONC-302-CLIN</t>
        </is>
      </c>
      <c r="F7" s="9" t="inlineStr">
        <is>
          <t>CH</t>
        </is>
      </c>
      <c r="G7" s="9" t="inlineStr">
        <is>
          <t>2026-01-21</t>
        </is>
      </c>
      <c r="H7" s="9" t="inlineStr">
        <is>
          <t>2026-01-24</t>
        </is>
      </c>
      <c r="I7" s="9" t="n">
        <v>49</v>
      </c>
      <c r="J7" s="9" t="n">
        <v>4.86</v>
      </c>
      <c r="K7" s="9" t="n">
        <v>219681.14</v>
      </c>
      <c r="L7" s="9" t="n">
        <v>209500</v>
      </c>
      <c r="M7" s="9" t="inlineStr">
        <is>
          <t>Amex_BTA_Ghost</t>
        </is>
      </c>
      <c r="N7" s="9" t="inlineStr">
        <is>
          <t>Y</t>
        </is>
      </c>
      <c r="O7" s="9" t="n">
        <v>9</v>
      </c>
      <c r="P7" s="9" t="inlineStr">
        <is>
          <t>EFPIA-CH-719176;EFPIA-CH-542417;EFPIA-CH-133326;EFPIA-CH-131244;EFPIA-CH-198246;EFPIA-CH-329258;EFPIA-CH-343962;EFPIA-CH-629903;EFPIA-CH-731262</t>
        </is>
      </c>
      <c r="Q7" s="9" t="inlineStr">
        <is>
          <t>Y</t>
        </is>
      </c>
      <c r="R7" s="9" t="inlineStr">
        <is>
          <t>Y</t>
        </is>
      </c>
      <c r="S7" s="9" t="inlineStr">
        <is>
          <t>CVT-308496</t>
        </is>
      </c>
      <c r="T7" s="9" t="inlineStr">
        <is>
          <t>EXP-2026-850800</t>
        </is>
      </c>
      <c r="U7" s="9" t="inlineStr">
        <is>
          <t>Y</t>
        </is>
      </c>
      <c r="V7" s="9" t="n">
        <v>10</v>
      </c>
      <c r="W7" s="9" t="inlineStr">
        <is>
          <t>Y</t>
        </is>
      </c>
      <c r="X7" s="9" t="inlineStr">
        <is>
          <t>Approved</t>
        </is>
      </c>
      <c r="Y7" s="10">
        <f>IF(OR(ISBLANK(A7), ISBLANK(D7), ISBLANK(E7)), "FAIL", "PASS")</f>
        <v/>
      </c>
      <c r="Z7" s="10">
        <f>IF(H7&lt;G7, "FAIL", "PASS")</f>
        <v/>
      </c>
      <c r="AA7" s="10">
        <f>IF(AND(O7&gt;0, S7=""), "FAIL", "PASS")</f>
        <v/>
      </c>
      <c r="AB7" s="10">
        <f>IF(AND(F7="US", O7&gt;0, P7=""), "FAIL", "PASS")</f>
        <v/>
      </c>
      <c r="AC7" s="10">
        <f>IF(AND(OR(M7="Amex_BTA_Ghost", M7="Single_Use_Virtual_Card"), N7="N"), "FAIL", "PASS")</f>
        <v/>
      </c>
      <c r="AD7" s="10">
        <f>IF(OR(U7="N", V7&gt;14), "FAIL", "PASS")</f>
        <v/>
      </c>
      <c r="AE7" s="10">
        <f>IF(J7&gt;25, "FAIL", "PASS")</f>
        <v/>
      </c>
      <c r="AF7" s="10">
        <f>IF(COUNTIF(Y7:AE7, "FAIL")=0, "CLEAN", "FLAGGED")</f>
        <v/>
      </c>
    </row>
    <row r="8">
      <c r="A8" s="9" t="inlineStr">
        <is>
          <t>MTG-2026-10002</t>
        </is>
      </c>
      <c r="B8" s="9" t="inlineStr">
        <is>
          <t>Oncology</t>
        </is>
      </c>
      <c r="C8" s="9" t="inlineStr">
        <is>
          <t>Medical_Symposium</t>
        </is>
      </c>
      <c r="D8" s="9" t="inlineStr">
        <is>
          <t>CC-ONC-8821</t>
        </is>
      </c>
      <c r="E8" s="9" t="inlineStr">
        <is>
          <t>WBS-ONC-302-CLIN</t>
        </is>
      </c>
      <c r="F8" s="9" t="inlineStr">
        <is>
          <t>US</t>
        </is>
      </c>
      <c r="G8" s="9" t="inlineStr">
        <is>
          <t>2026-07-28</t>
        </is>
      </c>
      <c r="H8" s="9" t="inlineStr">
        <is>
          <t>2026-07-30</t>
        </is>
      </c>
      <c r="I8" s="9" t="n">
        <v>72</v>
      </c>
      <c r="J8" s="9" t="n">
        <v>7.49</v>
      </c>
      <c r="K8" s="9" t="n">
        <v>145965.74</v>
      </c>
      <c r="L8" s="9" t="n">
        <v>135800</v>
      </c>
      <c r="M8" s="9" t="inlineStr">
        <is>
          <t>Single_Use_Virtual_Card</t>
        </is>
      </c>
      <c r="N8" s="9" t="inlineStr">
        <is>
          <t>Y</t>
        </is>
      </c>
      <c r="O8" s="9" t="n">
        <v>25</v>
      </c>
      <c r="P8" s="9" t="inlineStr">
        <is>
          <t>1209747451;1199585092;1507943839;1203848421;1485451171;1469319644;1748245888;1384027113;1966647391;1146654552;1883543540;1593303705;1675770529;1234031070;1506448196;1184611066;1692749116;1414797776;1990566476;1774996843;1764130526;1488302652;1719927151;1306468299;1856528252</t>
        </is>
      </c>
      <c r="Q8" s="9" t="inlineStr">
        <is>
          <t>Y</t>
        </is>
      </c>
      <c r="R8" s="9" t="inlineStr">
        <is>
          <t>Y</t>
        </is>
      </c>
      <c r="S8" s="9" t="inlineStr">
        <is>
          <t>CVT-793384</t>
        </is>
      </c>
      <c r="T8" s="9" t="inlineStr">
        <is>
          <t>EXP-2026-338968</t>
        </is>
      </c>
      <c r="U8" s="9" t="inlineStr">
        <is>
          <t>Y</t>
        </is>
      </c>
      <c r="V8" s="9" t="n">
        <v>3</v>
      </c>
      <c r="W8" s="9" t="inlineStr">
        <is>
          <t>Y</t>
        </is>
      </c>
      <c r="X8" s="9" t="inlineStr">
        <is>
          <t>Approved</t>
        </is>
      </c>
      <c r="Y8" s="10">
        <f>IF(OR(ISBLANK(A8), ISBLANK(D8), ISBLANK(E8)), "FAIL", "PASS")</f>
        <v/>
      </c>
      <c r="Z8" s="10">
        <f>IF(H8&lt;G8, "FAIL", "PASS")</f>
        <v/>
      </c>
      <c r="AA8" s="10">
        <f>IF(AND(O8&gt;0, S8=""), "FAIL", "PASS")</f>
        <v/>
      </c>
      <c r="AB8" s="10">
        <f>IF(AND(F8="US", O8&gt;0, P8=""), "FAIL", "PASS")</f>
        <v/>
      </c>
      <c r="AC8" s="10">
        <f>IF(AND(OR(M8="Amex_BTA_Ghost", M8="Single_Use_Virtual_Card"), N8="N"), "FAIL", "PASS")</f>
        <v/>
      </c>
      <c r="AD8" s="10">
        <f>IF(OR(U8="N", V8&gt;14), "FAIL", "PASS")</f>
        <v/>
      </c>
      <c r="AE8" s="10">
        <f>IF(J8&gt;25, "FAIL", "PASS")</f>
        <v/>
      </c>
      <c r="AF8" s="10">
        <f>IF(COUNTIF(Y8:AE8, "FAIL")=0, "CLEAN", "FLAGGED")</f>
        <v/>
      </c>
    </row>
    <row r="9">
      <c r="A9" s="9" t="inlineStr">
        <is>
          <t>MTG-2026-10003</t>
        </is>
      </c>
      <c r="B9" s="9" t="inlineStr">
        <is>
          <t>Vaccines_Infectious</t>
        </is>
      </c>
      <c r="C9" s="9" t="inlineStr">
        <is>
          <t>Advisory_Board</t>
        </is>
      </c>
      <c r="D9" s="9" t="inlineStr">
        <is>
          <t>CC-VAC-6311</t>
        </is>
      </c>
      <c r="E9" s="9" t="inlineStr">
        <is>
          <t>WBS-VAC-205-GLB</t>
        </is>
      </c>
      <c r="F9" s="9" t="inlineStr">
        <is>
          <t>JP</t>
        </is>
      </c>
      <c r="G9" s="9" t="inlineStr">
        <is>
          <t>2026-03-27</t>
        </is>
      </c>
      <c r="H9" s="9" t="inlineStr">
        <is>
          <t>2026-03-31</t>
        </is>
      </c>
      <c r="I9" s="9" t="n">
        <v>64</v>
      </c>
      <c r="J9" s="9" t="n">
        <v>5.99</v>
      </c>
      <c r="K9" s="9" t="n">
        <v>79495.96000000001</v>
      </c>
      <c r="L9" s="9" t="n">
        <v>75000</v>
      </c>
      <c r="M9" s="9" t="inlineStr">
        <is>
          <t>Amex_BTA_Ghost</t>
        </is>
      </c>
      <c r="N9" s="9" t="inlineStr">
        <is>
          <t>Y</t>
        </is>
      </c>
      <c r="O9" s="9" t="n">
        <v>21</v>
      </c>
      <c r="P9" s="9" t="inlineStr">
        <is>
          <t>EFPIA-JP-835911;EFPIA-JP-816751;EFPIA-JP-779514;EFPIA-JP-174870;EFPIA-JP-738720;EFPIA-JP-765822;EFPIA-JP-279451;EFPIA-JP-660086;EFPIA-JP-864544;EFPIA-JP-356702;EFPIA-JP-271339;EFPIA-JP-584714;EFPIA-JP-497887;EFPIA-JP-383060;EFPIA-JP-771088;EFPIA-JP-821590;EFPIA-JP-684004;EFPIA-JP-330283;EFPIA-JP-817870;EFPIA-JP-440035;EFPIA-JP-983794</t>
        </is>
      </c>
      <c r="Q9" s="9" t="inlineStr">
        <is>
          <t>Y</t>
        </is>
      </c>
      <c r="R9" s="9" t="inlineStr">
        <is>
          <t>N</t>
        </is>
      </c>
      <c r="S9" s="9" t="inlineStr">
        <is>
          <t>CVT-158655</t>
        </is>
      </c>
      <c r="T9" s="9" t="inlineStr">
        <is>
          <t>EXP-2026-340174</t>
        </is>
      </c>
      <c r="U9" s="9" t="inlineStr">
        <is>
          <t>Y</t>
        </is>
      </c>
      <c r="V9" s="9" t="n">
        <v>7</v>
      </c>
      <c r="W9" s="9" t="inlineStr">
        <is>
          <t>Y</t>
        </is>
      </c>
      <c r="X9" s="9" t="inlineStr">
        <is>
          <t>Approved</t>
        </is>
      </c>
      <c r="Y9" s="10">
        <f>IF(OR(ISBLANK(A9), ISBLANK(D9), ISBLANK(E9)), "FAIL", "PASS")</f>
        <v/>
      </c>
      <c r="Z9" s="10">
        <f>IF(H9&lt;G9, "FAIL", "PASS")</f>
        <v/>
      </c>
      <c r="AA9" s="10">
        <f>IF(AND(O9&gt;0, S9=""), "FAIL", "PASS")</f>
        <v/>
      </c>
      <c r="AB9" s="10">
        <f>IF(AND(F9="US", O9&gt;0, P9=""), "FAIL", "PASS")</f>
        <v/>
      </c>
      <c r="AC9" s="10">
        <f>IF(AND(OR(M9="Amex_BTA_Ghost", M9="Single_Use_Virtual_Card"), N9="N"), "FAIL", "PASS")</f>
        <v/>
      </c>
      <c r="AD9" s="10">
        <f>IF(OR(U9="N", V9&gt;14), "FAIL", "PASS")</f>
        <v/>
      </c>
      <c r="AE9" s="10">
        <f>IF(J9&gt;25, "FAIL", "PASS")</f>
        <v/>
      </c>
      <c r="AF9" s="10">
        <f>IF(COUNTIF(Y9:AE9, "FAIL")=0, "CLEAN", "FLAGGED")</f>
        <v/>
      </c>
    </row>
    <row r="10">
      <c r="A10" s="9" t="inlineStr">
        <is>
          <t>MTG-2026-10004</t>
        </is>
      </c>
      <c r="B10" s="9" t="inlineStr">
        <is>
          <t>Rare_Disease</t>
        </is>
      </c>
      <c r="C10" s="9" t="inlineStr">
        <is>
          <t>Commercial_Launch</t>
        </is>
      </c>
      <c r="D10" s="9" t="inlineStr">
        <is>
          <t>CC-RD-9014</t>
        </is>
      </c>
      <c r="E10" s="9" t="inlineStr">
        <is>
          <t>WBS-RD-401-REG</t>
        </is>
      </c>
      <c r="F10" s="9" t="inlineStr">
        <is>
          <t>US</t>
        </is>
      </c>
      <c r="G10" s="9" t="inlineStr">
        <is>
          <t>2026-03-10</t>
        </is>
      </c>
      <c r="H10" s="9" t="inlineStr">
        <is>
          <t>2026-03-14</t>
        </is>
      </c>
      <c r="I10" s="9" t="n">
        <v>68</v>
      </c>
      <c r="J10" s="9" t="n">
        <v>3.6</v>
      </c>
      <c r="K10" s="9" t="n">
        <v>218294.88</v>
      </c>
      <c r="L10" s="9" t="n">
        <v>210700</v>
      </c>
      <c r="M10" s="9" t="inlineStr">
        <is>
          <t>Direct_Invoice_PO</t>
        </is>
      </c>
      <c r="N10" s="9" t="inlineStr">
        <is>
          <t>Y</t>
        </is>
      </c>
      <c r="O10" s="9" t="n">
        <v>19</v>
      </c>
      <c r="P10" s="9" t="inlineStr">
        <is>
          <t>1899925830;1702764446;1678722458;1382116655;1902099969;1727694430;1560027313;1726563708;1528853029;1488690725;1335493870;1248532577;1647099690;1629908599;1197613238;1911514914;1150590821;1217734861;1264112119</t>
        </is>
      </c>
      <c r="Q10" s="9" t="inlineStr">
        <is>
          <t>Y</t>
        </is>
      </c>
      <c r="R10" s="9" t="inlineStr">
        <is>
          <t>N</t>
        </is>
      </c>
      <c r="S10" s="9" t="inlineStr">
        <is>
          <t>CVT-930555</t>
        </is>
      </c>
      <c r="T10" s="9" t="inlineStr">
        <is>
          <t>EXP-2026-813536</t>
        </is>
      </c>
      <c r="U10" s="9" t="inlineStr">
        <is>
          <t>Y</t>
        </is>
      </c>
      <c r="V10" s="9" t="n">
        <v>3</v>
      </c>
      <c r="W10" s="9" t="inlineStr">
        <is>
          <t>Y</t>
        </is>
      </c>
      <c r="X10" s="9" t="inlineStr">
        <is>
          <t>Approved</t>
        </is>
      </c>
      <c r="Y10" s="10">
        <f>IF(OR(ISBLANK(A10), ISBLANK(D10), ISBLANK(E10)), "FAIL", "PASS")</f>
        <v/>
      </c>
      <c r="Z10" s="10">
        <f>IF(H10&lt;G10, "FAIL", "PASS")</f>
        <v/>
      </c>
      <c r="AA10" s="10">
        <f>IF(AND(O10&gt;0, S10=""), "FAIL", "PASS")</f>
        <v/>
      </c>
      <c r="AB10" s="10">
        <f>IF(AND(F10="US", O10&gt;0, P10=""), "FAIL", "PASS")</f>
        <v/>
      </c>
      <c r="AC10" s="10">
        <f>IF(AND(OR(M10="Amex_BTA_Ghost", M10="Single_Use_Virtual_Card"), N10="N"), "FAIL", "PASS")</f>
        <v/>
      </c>
      <c r="AD10" s="10">
        <f>IF(OR(U10="N", V10&gt;14), "FAIL", "PASS")</f>
        <v/>
      </c>
      <c r="AE10" s="10">
        <f>IF(J10&gt;25, "FAIL", "PASS")</f>
        <v/>
      </c>
      <c r="AF10" s="10">
        <f>IF(COUNTIF(Y10:AE10, "FAIL")=0, "CLEAN", "FLAGGED")</f>
        <v/>
      </c>
    </row>
    <row r="11">
      <c r="A11" s="9" t="inlineStr">
        <is>
          <t>MTG-2026-10005</t>
        </is>
      </c>
      <c r="B11" s="9" t="inlineStr">
        <is>
          <t>Rare_Disease</t>
        </is>
      </c>
      <c r="C11" s="9" t="inlineStr">
        <is>
          <t>Internal_Sales_Rally</t>
        </is>
      </c>
      <c r="D11" s="9" t="inlineStr">
        <is>
          <t>CC-RD-9014</t>
        </is>
      </c>
      <c r="E11" s="9" t="inlineStr">
        <is>
          <t>WBS-RD-401-REG</t>
        </is>
      </c>
      <c r="F11" s="9" t="inlineStr">
        <is>
          <t>US</t>
        </is>
      </c>
      <c r="G11" s="9" t="inlineStr">
        <is>
          <t>2026-09-20</t>
        </is>
      </c>
      <c r="H11" s="9" t="inlineStr">
        <is>
          <t>2026-09-21</t>
        </is>
      </c>
      <c r="I11" s="9" t="n">
        <v>32</v>
      </c>
      <c r="J11" s="9" t="n">
        <v>-6.83</v>
      </c>
      <c r="K11" s="9" t="n">
        <v>134532.12</v>
      </c>
      <c r="L11" s="9" t="n">
        <v>144400</v>
      </c>
      <c r="M11" s="9" t="inlineStr">
        <is>
          <t>Single_Use_Virtual_Card</t>
        </is>
      </c>
      <c r="N11" s="9" t="inlineStr">
        <is>
          <t>Y</t>
        </is>
      </c>
      <c r="O11" s="9" t="n">
        <v>0</v>
      </c>
      <c r="P11" s="9" t="inlineStr"/>
      <c r="Q11" s="9" t="inlineStr">
        <is>
          <t>nan</t>
        </is>
      </c>
      <c r="R11" s="9" t="inlineStr">
        <is>
          <t>N</t>
        </is>
      </c>
      <c r="S11" s="9" t="inlineStr">
        <is>
          <t>CVT-905934</t>
        </is>
      </c>
      <c r="T11" s="9" t="inlineStr">
        <is>
          <t>EXP-2026-772097</t>
        </is>
      </c>
      <c r="U11" s="9" t="inlineStr">
        <is>
          <t>Y</t>
        </is>
      </c>
      <c r="V11" s="9" t="n">
        <v>6</v>
      </c>
      <c r="W11" s="9" t="inlineStr">
        <is>
          <t>N</t>
        </is>
      </c>
      <c r="X11" s="9" t="inlineStr">
        <is>
          <t>Approved</t>
        </is>
      </c>
      <c r="Y11" s="10">
        <f>IF(OR(ISBLANK(A11), ISBLANK(D11), ISBLANK(E11)), "FAIL", "PASS")</f>
        <v/>
      </c>
      <c r="Z11" s="10">
        <f>IF(H11&lt;G11, "FAIL", "PASS")</f>
        <v/>
      </c>
      <c r="AA11" s="10">
        <f>IF(AND(O11&gt;0, S11=""), "FAIL", "PASS")</f>
        <v/>
      </c>
      <c r="AB11" s="10">
        <f>IF(AND(F11="US", O11&gt;0, P11=""), "FAIL", "PASS")</f>
        <v/>
      </c>
      <c r="AC11" s="10">
        <f>IF(AND(OR(M11="Amex_BTA_Ghost", M11="Single_Use_Virtual_Card"), N11="N"), "FAIL", "PASS")</f>
        <v/>
      </c>
      <c r="AD11" s="10">
        <f>IF(OR(U11="N", V11&gt;14), "FAIL", "PASS")</f>
        <v/>
      </c>
      <c r="AE11" s="10">
        <f>IF(J11&gt;25, "FAIL", "PASS")</f>
        <v/>
      </c>
      <c r="AF11" s="10">
        <f>IF(COUNTIF(Y11:AE11, "FAIL")=0, "CLEAN", "FLAGGED")</f>
        <v/>
      </c>
    </row>
    <row r="12">
      <c r="A12" s="9" t="inlineStr">
        <is>
          <t>MTG-2026-10006</t>
        </is>
      </c>
      <c r="B12" s="9" t="inlineStr">
        <is>
          <t>Rare_Disease</t>
        </is>
      </c>
      <c r="C12" s="9" t="inlineStr">
        <is>
          <t>Advisory_Board</t>
        </is>
      </c>
      <c r="D12" s="9" t="inlineStr">
        <is>
          <t>CC-RD-9014</t>
        </is>
      </c>
      <c r="E12" s="9" t="inlineStr">
        <is>
          <t>WBS-RD-401-REG</t>
        </is>
      </c>
      <c r="F12" s="9" t="inlineStr">
        <is>
          <t>US</t>
        </is>
      </c>
      <c r="G12" s="9" t="inlineStr">
        <is>
          <t>2026-09-20</t>
        </is>
      </c>
      <c r="H12" s="9" t="inlineStr">
        <is>
          <t>2026-09-22</t>
        </is>
      </c>
      <c r="I12" s="9" t="n">
        <v>82</v>
      </c>
      <c r="J12" s="9" t="n">
        <v>-2.9</v>
      </c>
      <c r="K12" s="9" t="n">
        <v>94483.07000000001</v>
      </c>
      <c r="L12" s="9" t="n">
        <v>97300</v>
      </c>
      <c r="M12" s="9" t="inlineStr">
        <is>
          <t>Amex_BTA_Ghost</t>
        </is>
      </c>
      <c r="N12" s="9" t="inlineStr">
        <is>
          <t>Y</t>
        </is>
      </c>
      <c r="O12" s="9" t="n">
        <v>16</v>
      </c>
      <c r="P12" s="9" t="inlineStr">
        <is>
          <t>1264109919;1501486939;1918739736;1273461957;1679153816;1936043811;1669462919;1100614068;1743111853;1448059918;1624636385;1120912992;1220117054;1489747629;1992994062;1966267851</t>
        </is>
      </c>
      <c r="Q12" s="9" t="inlineStr">
        <is>
          <t>Y</t>
        </is>
      </c>
      <c r="R12" s="9" t="inlineStr">
        <is>
          <t>N</t>
        </is>
      </c>
      <c r="S12" s="9" t="inlineStr">
        <is>
          <t>CVT-160738</t>
        </is>
      </c>
      <c r="T12" s="9" t="inlineStr">
        <is>
          <t>EXP-2026-352572</t>
        </is>
      </c>
      <c r="U12" s="9" t="inlineStr">
        <is>
          <t>Y</t>
        </is>
      </c>
      <c r="V12" s="9" t="n">
        <v>3</v>
      </c>
      <c r="W12" s="9" t="inlineStr">
        <is>
          <t>Y</t>
        </is>
      </c>
      <c r="X12" s="9" t="inlineStr">
        <is>
          <t>Approved</t>
        </is>
      </c>
      <c r="Y12" s="10">
        <f>IF(OR(ISBLANK(A12), ISBLANK(D12), ISBLANK(E12)), "FAIL", "PASS")</f>
        <v/>
      </c>
      <c r="Z12" s="10">
        <f>IF(H12&lt;G12, "FAIL", "PASS")</f>
        <v/>
      </c>
      <c r="AA12" s="10">
        <f>IF(AND(O12&gt;0, S12=""), "FAIL", "PASS")</f>
        <v/>
      </c>
      <c r="AB12" s="10">
        <f>IF(AND(F12="US", O12&gt;0, P12=""), "FAIL", "PASS")</f>
        <v/>
      </c>
      <c r="AC12" s="10">
        <f>IF(AND(OR(M12="Amex_BTA_Ghost", M12="Single_Use_Virtual_Card"), N12="N"), "FAIL", "PASS")</f>
        <v/>
      </c>
      <c r="AD12" s="10">
        <f>IF(OR(U12="N", V12&gt;14), "FAIL", "PASS")</f>
        <v/>
      </c>
      <c r="AE12" s="10">
        <f>IF(J12&gt;25, "FAIL", "PASS")</f>
        <v/>
      </c>
      <c r="AF12" s="10">
        <f>IF(COUNTIF(Y12:AE12, "FAIL")=0, "CLEAN", "FLAGGED")</f>
        <v/>
      </c>
    </row>
    <row r="13">
      <c r="A13" s="9" t="inlineStr">
        <is>
          <t>MTG-2026-10007</t>
        </is>
      </c>
      <c r="B13" s="9" t="inlineStr">
        <is>
          <t>Immunology_Inflammation</t>
        </is>
      </c>
      <c r="C13" s="9" t="inlineStr">
        <is>
          <t>Investigator_Meeting</t>
        </is>
      </c>
      <c r="D13" s="9" t="inlineStr">
        <is>
          <t>CC-IMM-4102</t>
        </is>
      </c>
      <c r="E13" s="9" t="inlineStr">
        <is>
          <t>WBS-IMM-108-PH3</t>
        </is>
      </c>
      <c r="F13" s="9" t="inlineStr">
        <is>
          <t>US</t>
        </is>
      </c>
      <c r="G13" s="9" t="inlineStr">
        <is>
          <t>2026-02-16</t>
        </is>
      </c>
      <c r="H13" s="9" t="inlineStr">
        <is>
          <t>2026-02-20</t>
        </is>
      </c>
      <c r="I13" s="9" t="n">
        <v>88</v>
      </c>
      <c r="J13" s="9" t="n">
        <v>18.16</v>
      </c>
      <c r="K13" s="9" t="n">
        <v>219427.09</v>
      </c>
      <c r="L13" s="9" t="n">
        <v>185700</v>
      </c>
      <c r="M13" s="9" t="inlineStr">
        <is>
          <t>Amex_BTA_Ghost</t>
        </is>
      </c>
      <c r="N13" s="9" t="inlineStr">
        <is>
          <t>Y</t>
        </is>
      </c>
      <c r="O13" s="9" t="n">
        <v>31</v>
      </c>
      <c r="P13" s="9" t="inlineStr">
        <is>
          <t>1327416584;1679064766;1910959828;1883757514;1840739735;1315984311;1865523129;1434702822;1528414718;1821218382;1797801251;1500957212;1570406376;1655742829;1584779555;1229927269;1366186631;1341266931;1168747287;1463016614;1122585366;1731691672;1694768704;1347083812;1731832764;1336456621;1107721109;1176228245;1860038427;1777641645;1163215224</t>
        </is>
      </c>
      <c r="Q13" s="9" t="inlineStr">
        <is>
          <t>Y</t>
        </is>
      </c>
      <c r="R13" s="9" t="inlineStr">
        <is>
          <t>Y</t>
        </is>
      </c>
      <c r="S13" s="9" t="inlineStr">
        <is>
          <t>CVT-132938</t>
        </is>
      </c>
      <c r="T13" s="9" t="inlineStr">
        <is>
          <t>EXP-2026-446479</t>
        </is>
      </c>
      <c r="U13" s="9" t="inlineStr">
        <is>
          <t>Y</t>
        </is>
      </c>
      <c r="V13" s="9" t="n">
        <v>5</v>
      </c>
      <c r="W13" s="9" t="inlineStr">
        <is>
          <t>Y</t>
        </is>
      </c>
      <c r="X13" s="9" t="inlineStr">
        <is>
          <t>Approved</t>
        </is>
      </c>
      <c r="Y13" s="10">
        <f>IF(OR(ISBLANK(A13), ISBLANK(D13), ISBLANK(E13)), "FAIL", "PASS")</f>
        <v/>
      </c>
      <c r="Z13" s="10">
        <f>IF(H13&lt;G13, "FAIL", "PASS")</f>
        <v/>
      </c>
      <c r="AA13" s="10">
        <f>IF(AND(O13&gt;0, S13=""), "FAIL", "PASS")</f>
        <v/>
      </c>
      <c r="AB13" s="10">
        <f>IF(AND(F13="US", O13&gt;0, P13=""), "FAIL", "PASS")</f>
        <v/>
      </c>
      <c r="AC13" s="10">
        <f>IF(AND(OR(M13="Amex_BTA_Ghost", M13="Single_Use_Virtual_Card"), N13="N"), "FAIL", "PASS")</f>
        <v/>
      </c>
      <c r="AD13" s="10">
        <f>IF(OR(U13="N", V13&gt;14), "FAIL", "PASS")</f>
        <v/>
      </c>
      <c r="AE13" s="10">
        <f>IF(J13&gt;25, "FAIL", "PASS")</f>
        <v/>
      </c>
      <c r="AF13" s="10">
        <f>IF(COUNTIF(Y13:AE13, "FAIL")=0, "CLEAN", "FLAGGED")</f>
        <v/>
      </c>
    </row>
    <row r="14">
      <c r="A14" s="9" t="inlineStr">
        <is>
          <t>MTG-2026-10008</t>
        </is>
      </c>
      <c r="B14" s="9" t="inlineStr">
        <is>
          <t>Vaccines_Infectious</t>
        </is>
      </c>
      <c r="C14" s="9" t="inlineStr">
        <is>
          <t>Advisory_Board</t>
        </is>
      </c>
      <c r="D14" s="9" t="inlineStr">
        <is>
          <t>CC-VAC-6311</t>
        </is>
      </c>
      <c r="E14" s="9" t="inlineStr">
        <is>
          <t>WBS-VAC-205-GLB</t>
        </is>
      </c>
      <c r="F14" s="9" t="inlineStr">
        <is>
          <t>US</t>
        </is>
      </c>
      <c r="G14" s="9" t="inlineStr">
        <is>
          <t>2026-03-18</t>
        </is>
      </c>
      <c r="H14" s="9" t="inlineStr">
        <is>
          <t>2026-03-22</t>
        </is>
      </c>
      <c r="I14" s="9" t="n">
        <v>70</v>
      </c>
      <c r="J14" s="9" t="n">
        <v>8.550000000000001</v>
      </c>
      <c r="K14" s="9" t="n">
        <v>120387.22</v>
      </c>
      <c r="L14" s="9" t="n">
        <v>110900</v>
      </c>
      <c r="M14" s="9" t="inlineStr">
        <is>
          <t>Single_Use_Virtual_Card</t>
        </is>
      </c>
      <c r="N14" s="9" t="inlineStr">
        <is>
          <t>Y</t>
        </is>
      </c>
      <c r="O14" s="9" t="n">
        <v>26</v>
      </c>
      <c r="P14" s="9" t="inlineStr">
        <is>
          <t>1554814084;1541417711;1601463916;1882839238;1158165865;1823019672;1801642483;1793830224;1205675387;1165082363;1532311310;1881913386;1464323393;1959629660;1217326729;1366992705;1305718272;1304235259;1675832441;1581695135;1250519597;1552991960;1297018781;1399085574;1596743109;1368227631</t>
        </is>
      </c>
      <c r="Q14" s="9" t="inlineStr">
        <is>
          <t>Y</t>
        </is>
      </c>
      <c r="R14" s="9" t="inlineStr">
        <is>
          <t>N</t>
        </is>
      </c>
      <c r="S14" s="9" t="inlineStr">
        <is>
          <t>CVT-179046</t>
        </is>
      </c>
      <c r="T14" s="9" t="inlineStr">
        <is>
          <t>EXP-2026-564656</t>
        </is>
      </c>
      <c r="U14" s="9" t="inlineStr">
        <is>
          <t>Y</t>
        </is>
      </c>
      <c r="V14" s="9" t="n">
        <v>10</v>
      </c>
      <c r="W14" s="9" t="inlineStr">
        <is>
          <t>Y</t>
        </is>
      </c>
      <c r="X14" s="9" t="inlineStr">
        <is>
          <t>Approved</t>
        </is>
      </c>
      <c r="Y14" s="10">
        <f>IF(OR(ISBLANK(A14), ISBLANK(D14), ISBLANK(E14)), "FAIL", "PASS")</f>
        <v/>
      </c>
      <c r="Z14" s="10">
        <f>IF(H14&lt;G14, "FAIL", "PASS")</f>
        <v/>
      </c>
      <c r="AA14" s="10">
        <f>IF(AND(O14&gt;0, S14=""), "FAIL", "PASS")</f>
        <v/>
      </c>
      <c r="AB14" s="10">
        <f>IF(AND(F14="US", O14&gt;0, P14=""), "FAIL", "PASS")</f>
        <v/>
      </c>
      <c r="AC14" s="10">
        <f>IF(AND(OR(M14="Amex_BTA_Ghost", M14="Single_Use_Virtual_Card"), N14="N"), "FAIL", "PASS")</f>
        <v/>
      </c>
      <c r="AD14" s="10">
        <f>IF(OR(U14="N", V14&gt;14), "FAIL", "PASS")</f>
        <v/>
      </c>
      <c r="AE14" s="10">
        <f>IF(J14&gt;25, "FAIL", "PASS")</f>
        <v/>
      </c>
      <c r="AF14" s="10">
        <f>IF(COUNTIF(Y14:AE14, "FAIL")=0, "CLEAN", "FLAGGED")</f>
        <v/>
      </c>
    </row>
    <row r="15">
      <c r="A15" s="9" t="inlineStr">
        <is>
          <t>MTG-2026-10009</t>
        </is>
      </c>
      <c r="B15" s="9" t="inlineStr">
        <is>
          <t>Oncology</t>
        </is>
      </c>
      <c r="C15" s="9" t="inlineStr">
        <is>
          <t>Investigator_Meeting</t>
        </is>
      </c>
      <c r="D15" s="9" t="inlineStr">
        <is>
          <t>CC-ONC-8821</t>
        </is>
      </c>
      <c r="E15" s="9" t="inlineStr">
        <is>
          <t>WBS-VAC-205-GLB</t>
        </is>
      </c>
      <c r="F15" s="9" t="inlineStr">
        <is>
          <t>FR</t>
        </is>
      </c>
      <c r="G15" s="9" t="inlineStr">
        <is>
          <t>2026-09-20</t>
        </is>
      </c>
      <c r="H15" s="9" t="inlineStr">
        <is>
          <t>2026-09-21</t>
        </is>
      </c>
      <c r="I15" s="9" t="n">
        <v>48</v>
      </c>
      <c r="J15" s="9" t="n">
        <v>7.09</v>
      </c>
      <c r="K15" s="9" t="n">
        <v>159021.46</v>
      </c>
      <c r="L15" s="9" t="n">
        <v>148500</v>
      </c>
      <c r="M15" s="9" t="inlineStr">
        <is>
          <t>Single_Use_Virtual_Card</t>
        </is>
      </c>
      <c r="N15" s="9" t="inlineStr">
        <is>
          <t>Y</t>
        </is>
      </c>
      <c r="O15" s="9" t="n">
        <v>29</v>
      </c>
      <c r="P15" s="9" t="inlineStr">
        <is>
          <t>EFPIA-FR-161483;EFPIA-FR-272634;EFPIA-FR-497382;EFPIA-FR-102260;EFPIA-FR-509386;EFPIA-FR-378085;EFPIA-FR-922157;EFPIA-FR-923267;EFPIA-FR-577110;EFPIA-FR-399105;EFPIA-FR-543555;EFPIA-FR-830429;EFPIA-FR-865990;EFPIA-FR-921414;EFPIA-FR-682765;EFPIA-FR-794022;EFPIA-FR-853305;EFPIA-FR-610311;EFPIA-FR-262316;EFPIA-FR-299122;EFPIA-FR-411120;EFPIA-FR-328275;EFPIA-FR-161324;EFPIA-FR-707314;EFPIA-FR-871476;EFPIA-FR-668532;EFPIA-FR-163918;EFPIA-FR-884309;EFPIA-FR-428838</t>
        </is>
      </c>
      <c r="Q15" s="9" t="inlineStr">
        <is>
          <t>Y</t>
        </is>
      </c>
      <c r="R15" s="9" t="inlineStr">
        <is>
          <t>Y</t>
        </is>
      </c>
      <c r="S15" s="9" t="inlineStr">
        <is>
          <t>CVT-712554</t>
        </is>
      </c>
      <c r="T15" s="9" t="inlineStr">
        <is>
          <t>EXP-2026-599948</t>
        </is>
      </c>
      <c r="U15" s="9" t="inlineStr">
        <is>
          <t>Y</t>
        </is>
      </c>
      <c r="V15" s="9" t="n">
        <v>10</v>
      </c>
      <c r="W15" s="9" t="inlineStr">
        <is>
          <t>Y</t>
        </is>
      </c>
      <c r="X15" s="9" t="inlineStr">
        <is>
          <t>Approved</t>
        </is>
      </c>
      <c r="Y15" s="10">
        <f>IF(OR(ISBLANK(A15), ISBLANK(D15), ISBLANK(E15)), "FAIL", "PASS")</f>
        <v/>
      </c>
      <c r="Z15" s="10">
        <f>IF(H15&lt;G15, "FAIL", "PASS")</f>
        <v/>
      </c>
      <c r="AA15" s="10">
        <f>IF(AND(O15&gt;0, S15=""), "FAIL", "PASS")</f>
        <v/>
      </c>
      <c r="AB15" s="10">
        <f>IF(AND(F15="US", O15&gt;0, P15=""), "FAIL", "PASS")</f>
        <v/>
      </c>
      <c r="AC15" s="10">
        <f>IF(AND(OR(M15="Amex_BTA_Ghost", M15="Single_Use_Virtual_Card"), N15="N"), "FAIL", "PASS")</f>
        <v/>
      </c>
      <c r="AD15" s="10">
        <f>IF(OR(U15="N", V15&gt;14), "FAIL", "PASS")</f>
        <v/>
      </c>
      <c r="AE15" s="10">
        <f>IF(J15&gt;25, "FAIL", "PASS")</f>
        <v/>
      </c>
      <c r="AF15" s="10">
        <f>IF(COUNTIF(Y15:AE15, "FAIL")=0, "CLEAN", "FLAGGED")</f>
        <v/>
      </c>
    </row>
    <row r="16">
      <c r="A16" s="9" t="inlineStr">
        <is>
          <t>MTG-2026-10010</t>
        </is>
      </c>
      <c r="B16" s="9" t="inlineStr">
        <is>
          <t>Oncology</t>
        </is>
      </c>
      <c r="C16" s="9" t="inlineStr">
        <is>
          <t>Medical_Symposium</t>
        </is>
      </c>
      <c r="D16" s="9" t="inlineStr">
        <is>
          <t>CC-ONC-8821</t>
        </is>
      </c>
      <c r="E16" s="9" t="inlineStr">
        <is>
          <t>WBS-ONC-302-CLIN</t>
        </is>
      </c>
      <c r="F16" s="9" t="inlineStr">
        <is>
          <t>GB</t>
        </is>
      </c>
      <c r="G16" s="9" t="inlineStr">
        <is>
          <t>2026-06-16</t>
        </is>
      </c>
      <c r="H16" s="9" t="inlineStr">
        <is>
          <t>2026-06-17</t>
        </is>
      </c>
      <c r="I16" s="9" t="n">
        <v>48</v>
      </c>
      <c r="J16" s="9" t="n">
        <v>13.5</v>
      </c>
      <c r="K16" s="9" t="n">
        <v>219858.02</v>
      </c>
      <c r="L16" s="9" t="n">
        <v>193700</v>
      </c>
      <c r="M16" s="9" t="inlineStr">
        <is>
          <t>Single_Use_Virtual_Card</t>
        </is>
      </c>
      <c r="N16" s="9" t="inlineStr">
        <is>
          <t>Y</t>
        </is>
      </c>
      <c r="O16" s="9" t="n">
        <v>19</v>
      </c>
      <c r="P16" s="9" t="inlineStr">
        <is>
          <t>EFPIA-GB-707040;EFPIA-GB-723398;EFPIA-GB-141672;EFPIA-GB-749468;EFPIA-GB-185965;EFPIA-GB-539589;EFPIA-GB-789305;EFPIA-GB-712024;EFPIA-GB-692683;EFPIA-GB-648177;EFPIA-GB-431737;EFPIA-GB-373432;EFPIA-GB-314181;EFPIA-GB-802258;EFPIA-GB-850981;EFPIA-GB-429445;EFPIA-GB-350280;EFPIA-GB-378517;EFPIA-GB-515011</t>
        </is>
      </c>
      <c r="Q16" s="9" t="inlineStr">
        <is>
          <t>Y</t>
        </is>
      </c>
      <c r="R16" s="9" t="inlineStr">
        <is>
          <t>Y</t>
        </is>
      </c>
      <c r="S16" s="9" t="inlineStr">
        <is>
          <t>CVT-776856</t>
        </is>
      </c>
      <c r="T16" s="9" t="inlineStr">
        <is>
          <t>EXP-2026-414569</t>
        </is>
      </c>
      <c r="U16" s="9" t="inlineStr">
        <is>
          <t>Y</t>
        </is>
      </c>
      <c r="V16" s="9" t="n">
        <v>3</v>
      </c>
      <c r="W16" s="9" t="inlineStr">
        <is>
          <t>Y</t>
        </is>
      </c>
      <c r="X16" s="9" t="inlineStr">
        <is>
          <t>Approved</t>
        </is>
      </c>
      <c r="Y16" s="10">
        <f>IF(OR(ISBLANK(A16), ISBLANK(D16), ISBLANK(E16)), "FAIL", "PASS")</f>
        <v/>
      </c>
      <c r="Z16" s="10">
        <f>IF(H16&lt;G16, "FAIL", "PASS")</f>
        <v/>
      </c>
      <c r="AA16" s="10">
        <f>IF(AND(O16&gt;0, S16=""), "FAIL", "PASS")</f>
        <v/>
      </c>
      <c r="AB16" s="10">
        <f>IF(AND(F16="US", O16&gt;0, P16=""), "FAIL", "PASS")</f>
        <v/>
      </c>
      <c r="AC16" s="10">
        <f>IF(AND(OR(M16="Amex_BTA_Ghost", M16="Single_Use_Virtual_Card"), N16="N"), "FAIL", "PASS")</f>
        <v/>
      </c>
      <c r="AD16" s="10">
        <f>IF(OR(U16="N", V16&gt;14), "FAIL", "PASS")</f>
        <v/>
      </c>
      <c r="AE16" s="10">
        <f>IF(J16&gt;25, "FAIL", "PASS")</f>
        <v/>
      </c>
      <c r="AF16" s="10">
        <f>IF(COUNTIF(Y16:AE16, "FAIL")=0, "CLEAN", "FLAGGED")</f>
        <v/>
      </c>
    </row>
    <row r="17">
      <c r="A17" s="9" t="inlineStr">
        <is>
          <t>MTG-2026-10011</t>
        </is>
      </c>
      <c r="B17" s="9" t="inlineStr">
        <is>
          <t>Oncology</t>
        </is>
      </c>
      <c r="C17" s="9" t="inlineStr">
        <is>
          <t>Medical_Symposium</t>
        </is>
      </c>
      <c r="D17" s="9" t="inlineStr">
        <is>
          <t>CC-ONC-8821</t>
        </is>
      </c>
      <c r="E17" s="9" t="inlineStr">
        <is>
          <t>WBS-ONC-302-CLIN</t>
        </is>
      </c>
      <c r="F17" s="9" t="inlineStr">
        <is>
          <t>US</t>
        </is>
      </c>
      <c r="G17" s="9" t="inlineStr">
        <is>
          <t>2026-02-02</t>
        </is>
      </c>
      <c r="H17" s="9" t="inlineStr">
        <is>
          <t>2026-02-04</t>
        </is>
      </c>
      <c r="I17" s="9" t="n">
        <v>82</v>
      </c>
      <c r="J17" s="9" t="n">
        <v>7.48</v>
      </c>
      <c r="K17" s="9" t="n">
        <v>173904.51</v>
      </c>
      <c r="L17" s="9" t="n">
        <v>161800</v>
      </c>
      <c r="M17" s="9" t="inlineStr">
        <is>
          <t>Single_Use_Virtual_Card</t>
        </is>
      </c>
      <c r="N17" s="9" t="inlineStr">
        <is>
          <t>Y</t>
        </is>
      </c>
      <c r="O17" s="9" t="n">
        <v>8</v>
      </c>
      <c r="P17" s="9" t="inlineStr">
        <is>
          <t>1362298393;1496776692;1406002884;1269379374;1570497096;1995226828;1683275843;1855420240</t>
        </is>
      </c>
      <c r="Q17" s="9" t="inlineStr">
        <is>
          <t>Y</t>
        </is>
      </c>
      <c r="R17" s="9" t="inlineStr">
        <is>
          <t>N</t>
        </is>
      </c>
      <c r="S17" s="9" t="inlineStr">
        <is>
          <t>CVT-946305</t>
        </is>
      </c>
      <c r="T17" s="9" t="inlineStr">
        <is>
          <t>EXP-2026-785743</t>
        </is>
      </c>
      <c r="U17" s="9" t="inlineStr">
        <is>
          <t>Y</t>
        </is>
      </c>
      <c r="V17" s="9" t="n">
        <v>10</v>
      </c>
      <c r="W17" s="9" t="inlineStr">
        <is>
          <t>Y</t>
        </is>
      </c>
      <c r="X17" s="9" t="inlineStr">
        <is>
          <t>Approved</t>
        </is>
      </c>
      <c r="Y17" s="10">
        <f>IF(OR(ISBLANK(A17), ISBLANK(D17), ISBLANK(E17)), "FAIL", "PASS")</f>
        <v/>
      </c>
      <c r="Z17" s="10">
        <f>IF(H17&lt;G17, "FAIL", "PASS")</f>
        <v/>
      </c>
      <c r="AA17" s="10">
        <f>IF(AND(O17&gt;0, S17=""), "FAIL", "PASS")</f>
        <v/>
      </c>
      <c r="AB17" s="10">
        <f>IF(AND(F17="US", O17&gt;0, P17=""), "FAIL", "PASS")</f>
        <v/>
      </c>
      <c r="AC17" s="10">
        <f>IF(AND(OR(M17="Amex_BTA_Ghost", M17="Single_Use_Virtual_Card"), N17="N"), "FAIL", "PASS")</f>
        <v/>
      </c>
      <c r="AD17" s="10">
        <f>IF(OR(U17="N", V17&gt;14), "FAIL", "PASS")</f>
        <v/>
      </c>
      <c r="AE17" s="10">
        <f>IF(J17&gt;25, "FAIL", "PASS")</f>
        <v/>
      </c>
      <c r="AF17" s="10">
        <f>IF(COUNTIF(Y17:AE17, "FAIL")=0, "CLEAN", "FLAGGED")</f>
        <v/>
      </c>
    </row>
    <row r="18">
      <c r="A18" s="9" t="inlineStr">
        <is>
          <t>MTG-2026-10012</t>
        </is>
      </c>
      <c r="B18" s="9" t="inlineStr">
        <is>
          <t>Immunology_Inflammation</t>
        </is>
      </c>
      <c r="C18" s="9" t="inlineStr">
        <is>
          <t>Satellite_Symposium</t>
        </is>
      </c>
      <c r="D18" s="9" t="inlineStr">
        <is>
          <t>CC-IMM-4102</t>
        </is>
      </c>
      <c r="E18" s="9" t="inlineStr">
        <is>
          <t>WBS-IMM-108-PH3</t>
        </is>
      </c>
      <c r="F18" s="9" t="inlineStr">
        <is>
          <t>CH</t>
        </is>
      </c>
      <c r="G18" s="9" t="inlineStr">
        <is>
          <t>2026-03-23</t>
        </is>
      </c>
      <c r="H18" s="9" t="inlineStr">
        <is>
          <t>2026-03-24</t>
        </is>
      </c>
      <c r="I18" s="9" t="n">
        <v>31</v>
      </c>
      <c r="J18" s="9" t="n">
        <v>-0.09</v>
      </c>
      <c r="K18" s="9" t="n">
        <v>52750.48</v>
      </c>
      <c r="L18" s="9" t="n">
        <v>52800</v>
      </c>
      <c r="M18" s="9" t="inlineStr">
        <is>
          <t>Corporate_T&amp;E_Card</t>
        </is>
      </c>
      <c r="N18" s="9" t="inlineStr">
        <is>
          <t>Y</t>
        </is>
      </c>
      <c r="O18" s="9" t="n">
        <v>17</v>
      </c>
      <c r="P18" s="9" t="inlineStr">
        <is>
          <t>EFPIA-CH-852470;EFPIA-CH-459536;EFPIA-CH-313487;EFPIA-CH-820892;EFPIA-CH-765046;EFPIA-CH-994343;EFPIA-CH-376807;EFPIA-CH-629959;EFPIA-CH-612262;EFPIA-CH-363319;EFPIA-CH-987204;EFPIA-CH-153266;EFPIA-CH-196781;EFPIA-CH-765095;EFPIA-CH-544151;EFPIA-CH-969634;EFPIA-CH-390120</t>
        </is>
      </c>
      <c r="Q18" s="9" t="inlineStr">
        <is>
          <t>Y</t>
        </is>
      </c>
      <c r="R18" s="9" t="inlineStr">
        <is>
          <t>Y</t>
        </is>
      </c>
      <c r="S18" s="9" t="inlineStr">
        <is>
          <t>CVT-449759</t>
        </is>
      </c>
      <c r="T18" s="9" t="inlineStr">
        <is>
          <t>EXP-2026-908577</t>
        </is>
      </c>
      <c r="U18" s="9" t="inlineStr">
        <is>
          <t>Y</t>
        </is>
      </c>
      <c r="V18" s="9" t="n">
        <v>6</v>
      </c>
      <c r="W18" s="9" t="inlineStr">
        <is>
          <t>Y</t>
        </is>
      </c>
      <c r="X18" s="9" t="inlineStr">
        <is>
          <t>Approved</t>
        </is>
      </c>
      <c r="Y18" s="10">
        <f>IF(OR(ISBLANK(A18), ISBLANK(D18), ISBLANK(E18)), "FAIL", "PASS")</f>
        <v/>
      </c>
      <c r="Z18" s="10">
        <f>IF(H18&lt;G18, "FAIL", "PASS")</f>
        <v/>
      </c>
      <c r="AA18" s="10">
        <f>IF(AND(O18&gt;0, S18=""), "FAIL", "PASS")</f>
        <v/>
      </c>
      <c r="AB18" s="10">
        <f>IF(AND(F18="US", O18&gt;0, P18=""), "FAIL", "PASS")</f>
        <v/>
      </c>
      <c r="AC18" s="10">
        <f>IF(AND(OR(M18="Amex_BTA_Ghost", M18="Single_Use_Virtual_Card"), N18="N"), "FAIL", "PASS")</f>
        <v/>
      </c>
      <c r="AD18" s="10">
        <f>IF(OR(U18="N", V18&gt;14), "FAIL", "PASS")</f>
        <v/>
      </c>
      <c r="AE18" s="10">
        <f>IF(J18&gt;25, "FAIL", "PASS")</f>
        <v/>
      </c>
      <c r="AF18" s="10">
        <f>IF(COUNTIF(Y18:AE18, "FAIL")=0, "CLEAN", "FLAGGED")</f>
        <v/>
      </c>
    </row>
    <row r="19">
      <c r="A19" s="9" t="inlineStr">
        <is>
          <t>MTG-2026-10013</t>
        </is>
      </c>
      <c r="B19" s="9" t="inlineStr">
        <is>
          <t>Oncology</t>
        </is>
      </c>
      <c r="C19" s="9" t="inlineStr">
        <is>
          <t>Investigator_Meeting</t>
        </is>
      </c>
      <c r="D19" s="9" t="inlineStr">
        <is>
          <t>CC-ONC-8821</t>
        </is>
      </c>
      <c r="E19" s="9" t="inlineStr">
        <is>
          <t>WBS-IMM-108-PH3</t>
        </is>
      </c>
      <c r="F19" s="9" t="inlineStr">
        <is>
          <t>US</t>
        </is>
      </c>
      <c r="G19" s="9" t="inlineStr">
        <is>
          <t>2026-02-12</t>
        </is>
      </c>
      <c r="H19" s="9" t="inlineStr">
        <is>
          <t>2026-02-13</t>
        </is>
      </c>
      <c r="I19" s="9" t="n">
        <v>37</v>
      </c>
      <c r="J19" s="9" t="n">
        <v>3.72</v>
      </c>
      <c r="K19" s="9" t="n">
        <v>249559.24</v>
      </c>
      <c r="L19" s="9" t="n">
        <v>240600</v>
      </c>
      <c r="M19" s="9" t="inlineStr">
        <is>
          <t>Amex_BTA_Ghost</t>
        </is>
      </c>
      <c r="N19" s="9" t="inlineStr">
        <is>
          <t>Pending</t>
        </is>
      </c>
      <c r="O19" s="9" t="n">
        <v>13</v>
      </c>
      <c r="P19" s="9" t="inlineStr">
        <is>
          <t>NPI_UNKNOWN_32</t>
        </is>
      </c>
      <c r="Q19" s="9" t="inlineStr">
        <is>
          <t>Y</t>
        </is>
      </c>
      <c r="R19" s="9" t="inlineStr">
        <is>
          <t>N</t>
        </is>
      </c>
      <c r="S19" s="9" t="inlineStr">
        <is>
          <t>CVT-687080</t>
        </is>
      </c>
      <c r="T19" s="9" t="inlineStr">
        <is>
          <t>EXP-2026-526117</t>
        </is>
      </c>
      <c r="U19" s="9" t="inlineStr">
        <is>
          <t>Y</t>
        </is>
      </c>
      <c r="V19" s="9" t="n">
        <v>4</v>
      </c>
      <c r="W19" s="9" t="inlineStr">
        <is>
          <t>Y</t>
        </is>
      </c>
      <c r="X19" s="9" t="inlineStr">
        <is>
          <t>Approved</t>
        </is>
      </c>
      <c r="Y19" s="10">
        <f>IF(OR(ISBLANK(A19), ISBLANK(D19), ISBLANK(E19)), "FAIL", "PASS")</f>
        <v/>
      </c>
      <c r="Z19" s="10">
        <f>IF(H19&lt;G19, "FAIL", "PASS")</f>
        <v/>
      </c>
      <c r="AA19" s="10">
        <f>IF(AND(O19&gt;0, S19=""), "FAIL", "PASS")</f>
        <v/>
      </c>
      <c r="AB19" s="10">
        <f>IF(AND(F19="US", O19&gt;0, P19=""), "FAIL", "PASS")</f>
        <v/>
      </c>
      <c r="AC19" s="10">
        <f>IF(AND(OR(M19="Amex_BTA_Ghost", M19="Single_Use_Virtual_Card"), N19="N"), "FAIL", "PASS")</f>
        <v/>
      </c>
      <c r="AD19" s="10">
        <f>IF(OR(U19="N", V19&gt;14), "FAIL", "PASS")</f>
        <v/>
      </c>
      <c r="AE19" s="10">
        <f>IF(J19&gt;25, "FAIL", "PASS")</f>
        <v/>
      </c>
      <c r="AF19" s="10">
        <f>IF(COUNTIF(Y19:AE19, "FAIL")=0, "CLEAN", "FLAGGED")</f>
        <v/>
      </c>
    </row>
    <row r="20">
      <c r="A20" s="9" t="inlineStr">
        <is>
          <t>MTG-2026-10014</t>
        </is>
      </c>
      <c r="B20" s="9" t="inlineStr">
        <is>
          <t>Vaccines_Infectious</t>
        </is>
      </c>
      <c r="C20" s="9" t="inlineStr">
        <is>
          <t>Investigator_Meeting</t>
        </is>
      </c>
      <c r="D20" s="9" t="inlineStr">
        <is>
          <t>CC-VAC-6311</t>
        </is>
      </c>
      <c r="E20" s="9" t="inlineStr">
        <is>
          <t>WBS-VAC-205-GLB</t>
        </is>
      </c>
      <c r="F20" s="9" t="inlineStr">
        <is>
          <t>US</t>
        </is>
      </c>
      <c r="G20" s="9" t="inlineStr">
        <is>
          <t>2026-01-21</t>
        </is>
      </c>
      <c r="H20" s="9" t="inlineStr">
        <is>
          <t>2026-01-23</t>
        </is>
      </c>
      <c r="I20" s="9" t="n">
        <v>60</v>
      </c>
      <c r="J20" s="9" t="n">
        <v>-4.07</v>
      </c>
      <c r="K20" s="9" t="n">
        <v>263435.82</v>
      </c>
      <c r="L20" s="9" t="n">
        <v>274600</v>
      </c>
      <c r="M20" s="9" t="inlineStr">
        <is>
          <t>Amex_BTA_Ghost</t>
        </is>
      </c>
      <c r="N20" s="9" t="inlineStr">
        <is>
          <t>Y</t>
        </is>
      </c>
      <c r="O20" s="9" t="n">
        <v>19</v>
      </c>
      <c r="P20" s="9" t="inlineStr">
        <is>
          <t>1386480450;1270937380;1945436943;1852991721;1216066793;1510751046;1141580226;1605399561;1338836384;1314289692;1976803188;1594246837;1475442872;1427696198;1981044229;1953995721;1344378798;1339362341;1125409494</t>
        </is>
      </c>
      <c r="Q20" s="9" t="inlineStr">
        <is>
          <t>Y</t>
        </is>
      </c>
      <c r="R20" s="9" t="inlineStr">
        <is>
          <t>N</t>
        </is>
      </c>
      <c r="S20" s="9" t="inlineStr">
        <is>
          <t>CVT-517821</t>
        </is>
      </c>
      <c r="T20" s="9" t="inlineStr">
        <is>
          <t>EXP-2026-444207</t>
        </is>
      </c>
      <c r="U20" s="9" t="inlineStr">
        <is>
          <t>Y</t>
        </is>
      </c>
      <c r="V20" s="9" t="n">
        <v>3</v>
      </c>
      <c r="W20" s="9" t="inlineStr">
        <is>
          <t>Y</t>
        </is>
      </c>
      <c r="X20" s="9" t="inlineStr">
        <is>
          <t>Approved</t>
        </is>
      </c>
      <c r="Y20" s="10">
        <f>IF(OR(ISBLANK(A20), ISBLANK(D20), ISBLANK(E20)), "FAIL", "PASS")</f>
        <v/>
      </c>
      <c r="Z20" s="10">
        <f>IF(H20&lt;G20, "FAIL", "PASS")</f>
        <v/>
      </c>
      <c r="AA20" s="10">
        <f>IF(AND(O20&gt;0, S20=""), "FAIL", "PASS")</f>
        <v/>
      </c>
      <c r="AB20" s="10">
        <f>IF(AND(F20="US", O20&gt;0, P20=""), "FAIL", "PASS")</f>
        <v/>
      </c>
      <c r="AC20" s="10">
        <f>IF(AND(OR(M20="Amex_BTA_Ghost", M20="Single_Use_Virtual_Card"), N20="N"), "FAIL", "PASS")</f>
        <v/>
      </c>
      <c r="AD20" s="10">
        <f>IF(OR(U20="N", V20&gt;14), "FAIL", "PASS")</f>
        <v/>
      </c>
      <c r="AE20" s="10">
        <f>IF(J20&gt;25, "FAIL", "PASS")</f>
        <v/>
      </c>
      <c r="AF20" s="10">
        <f>IF(COUNTIF(Y20:AE20, "FAIL")=0, "CLEAN", "FLAGGED")</f>
        <v/>
      </c>
    </row>
    <row r="21">
      <c r="A21" s="9" t="inlineStr">
        <is>
          <t>MTG-2026-10015</t>
        </is>
      </c>
      <c r="B21" s="9" t="inlineStr">
        <is>
          <t>Vaccines_Infectious</t>
        </is>
      </c>
      <c r="C21" s="9" t="inlineStr">
        <is>
          <t>Advisory_Board</t>
        </is>
      </c>
      <c r="D21" s="9" t="inlineStr">
        <is>
          <t>CC-VAC-6311</t>
        </is>
      </c>
      <c r="E21" s="9" t="inlineStr">
        <is>
          <t>WBS-VAC-205-GLB</t>
        </is>
      </c>
      <c r="F21" s="9" t="inlineStr">
        <is>
          <t>JP</t>
        </is>
      </c>
      <c r="G21" s="9" t="inlineStr">
        <is>
          <t>2026-07-07</t>
        </is>
      </c>
      <c r="H21" s="9" t="inlineStr">
        <is>
          <t>2026-07-10</t>
        </is>
      </c>
      <c r="I21" s="9" t="n">
        <v>21</v>
      </c>
      <c r="J21" s="9" t="n">
        <v>-2.35</v>
      </c>
      <c r="K21" s="9" t="n">
        <v>94529.97</v>
      </c>
      <c r="L21" s="9" t="n">
        <v>96800</v>
      </c>
      <c r="M21" s="9" t="inlineStr">
        <is>
          <t>Single_Use_Virtual_Card</t>
        </is>
      </c>
      <c r="N21" s="9" t="inlineStr">
        <is>
          <t>Y</t>
        </is>
      </c>
      <c r="O21" s="9" t="n">
        <v>20</v>
      </c>
      <c r="P21" s="9" t="inlineStr">
        <is>
          <t>EFPIA-JP-140115;EFPIA-JP-213668;EFPIA-JP-725550;EFPIA-JP-555673;EFPIA-JP-462479;EFPIA-JP-863934;EFPIA-JP-924629;EFPIA-JP-428914;EFPIA-JP-557592;EFPIA-JP-735656;EFPIA-JP-636265;EFPIA-JP-221263;EFPIA-JP-503906;EFPIA-JP-704596;EFPIA-JP-299312;EFPIA-JP-367095;EFPIA-JP-146542;EFPIA-JP-843215;EFPIA-JP-557239;EFPIA-JP-101773</t>
        </is>
      </c>
      <c r="Q21" s="9" t="inlineStr">
        <is>
          <t>Y</t>
        </is>
      </c>
      <c r="R21" s="9" t="inlineStr">
        <is>
          <t>N</t>
        </is>
      </c>
      <c r="S21" s="9" t="inlineStr">
        <is>
          <t>CVT-945687</t>
        </is>
      </c>
      <c r="T21" s="9" t="inlineStr">
        <is>
          <t>EXP-2026-664607</t>
        </is>
      </c>
      <c r="U21" s="9" t="inlineStr">
        <is>
          <t>Y</t>
        </is>
      </c>
      <c r="V21" s="9" t="n">
        <v>5</v>
      </c>
      <c r="W21" s="9" t="inlineStr">
        <is>
          <t>Y</t>
        </is>
      </c>
      <c r="X21" s="9" t="inlineStr">
        <is>
          <t>Approved</t>
        </is>
      </c>
      <c r="Y21" s="10">
        <f>IF(OR(ISBLANK(A21), ISBLANK(D21), ISBLANK(E21)), "FAIL", "PASS")</f>
        <v/>
      </c>
      <c r="Z21" s="10">
        <f>IF(H21&lt;G21, "FAIL", "PASS")</f>
        <v/>
      </c>
      <c r="AA21" s="10">
        <f>IF(AND(O21&gt;0, S21=""), "FAIL", "PASS")</f>
        <v/>
      </c>
      <c r="AB21" s="10">
        <f>IF(AND(F21="US", O21&gt;0, P21=""), "FAIL", "PASS")</f>
        <v/>
      </c>
      <c r="AC21" s="10">
        <f>IF(AND(OR(M21="Amex_BTA_Ghost", M21="Single_Use_Virtual_Card"), N21="N"), "FAIL", "PASS")</f>
        <v/>
      </c>
      <c r="AD21" s="10">
        <f>IF(OR(U21="N", V21&gt;14), "FAIL", "PASS")</f>
        <v/>
      </c>
      <c r="AE21" s="10">
        <f>IF(J21&gt;25, "FAIL", "PASS")</f>
        <v/>
      </c>
      <c r="AF21" s="10">
        <f>IF(COUNTIF(Y21:AE21, "FAIL")=0, "CLEAN", "FLAGGED")</f>
        <v/>
      </c>
    </row>
    <row r="22">
      <c r="A22" s="9" t="inlineStr">
        <is>
          <t>MTG-2026-10016</t>
        </is>
      </c>
      <c r="B22" s="9" t="inlineStr">
        <is>
          <t>Rare_Disease</t>
        </is>
      </c>
      <c r="C22" s="9" t="inlineStr">
        <is>
          <t>Medical_Symposium</t>
        </is>
      </c>
      <c r="D22" s="9" t="inlineStr">
        <is>
          <t>CC-RD-9014</t>
        </is>
      </c>
      <c r="E22" s="9" t="inlineStr">
        <is>
          <t>WBS-RD-401-REG</t>
        </is>
      </c>
      <c r="F22" s="9" t="inlineStr">
        <is>
          <t>US</t>
        </is>
      </c>
      <c r="G22" s="9" t="inlineStr">
        <is>
          <t>2026-06-23</t>
        </is>
      </c>
      <c r="H22" s="9" t="inlineStr">
        <is>
          <t>2026-06-26</t>
        </is>
      </c>
      <c r="I22" s="9" t="n">
        <v>33</v>
      </c>
      <c r="J22" s="9" t="n">
        <v>-3.59</v>
      </c>
      <c r="K22" s="9" t="n">
        <v>167461.99</v>
      </c>
      <c r="L22" s="9" t="n">
        <v>173700</v>
      </c>
      <c r="M22" s="9" t="inlineStr">
        <is>
          <t>Amex_BTA_Ghost</t>
        </is>
      </c>
      <c r="N22" s="9" t="inlineStr">
        <is>
          <t>Y</t>
        </is>
      </c>
      <c r="O22" s="9" t="n">
        <v>30</v>
      </c>
      <c r="P22" s="9" t="inlineStr">
        <is>
          <t>1450236225;1532074125;1848621833;1417457352;1695295870;1236674237;1305986733;1551450815;1813962536;1507104143;1827264603;1903303363;1286860433;1760904107;1711072118;1423142470;1536019893;1688343096;1995205588;1100435874;1426283245;1408071259;1325681936;1561588882;1943702118;1722753913;1751397897;1802984810;1446012478;1599277266</t>
        </is>
      </c>
      <c r="Q22" s="9" t="inlineStr">
        <is>
          <t>Y</t>
        </is>
      </c>
      <c r="R22" s="9" t="inlineStr">
        <is>
          <t>N</t>
        </is>
      </c>
      <c r="S22" s="9" t="inlineStr">
        <is>
          <t>CVT-808446</t>
        </is>
      </c>
      <c r="T22" s="9" t="inlineStr">
        <is>
          <t>EXP-2026-324082</t>
        </is>
      </c>
      <c r="U22" s="9" t="inlineStr">
        <is>
          <t>Y</t>
        </is>
      </c>
      <c r="V22" s="9" t="n">
        <v>4</v>
      </c>
      <c r="W22" s="9" t="inlineStr">
        <is>
          <t>Y</t>
        </is>
      </c>
      <c r="X22" s="9" t="inlineStr">
        <is>
          <t>Approved</t>
        </is>
      </c>
      <c r="Y22" s="10">
        <f>IF(OR(ISBLANK(A22), ISBLANK(D22), ISBLANK(E22)), "FAIL", "PASS")</f>
        <v/>
      </c>
      <c r="Z22" s="10">
        <f>IF(H22&lt;G22, "FAIL", "PASS")</f>
        <v/>
      </c>
      <c r="AA22" s="10">
        <f>IF(AND(O22&gt;0, S22=""), "FAIL", "PASS")</f>
        <v/>
      </c>
      <c r="AB22" s="10">
        <f>IF(AND(F22="US", O22&gt;0, P22=""), "FAIL", "PASS")</f>
        <v/>
      </c>
      <c r="AC22" s="10">
        <f>IF(AND(OR(M22="Amex_BTA_Ghost", M22="Single_Use_Virtual_Card"), N22="N"), "FAIL", "PASS")</f>
        <v/>
      </c>
      <c r="AD22" s="10">
        <f>IF(OR(U22="N", V22&gt;14), "FAIL", "PASS")</f>
        <v/>
      </c>
      <c r="AE22" s="10">
        <f>IF(J22&gt;25, "FAIL", "PASS")</f>
        <v/>
      </c>
      <c r="AF22" s="10">
        <f>IF(COUNTIF(Y22:AE22, "FAIL")=0, "CLEAN", "FLAGGED")</f>
        <v/>
      </c>
    </row>
    <row r="23">
      <c r="A23" s="9" t="inlineStr">
        <is>
          <t>MTG-2026-10017</t>
        </is>
      </c>
      <c r="B23" s="9" t="inlineStr">
        <is>
          <t>Rare_Disease</t>
        </is>
      </c>
      <c r="C23" s="9" t="inlineStr">
        <is>
          <t>Medical_Symposium</t>
        </is>
      </c>
      <c r="D23" s="9" t="inlineStr">
        <is>
          <t>CC-RD-9014</t>
        </is>
      </c>
      <c r="E23" s="9" t="inlineStr">
        <is>
          <t>WBS-RD-401-REG</t>
        </is>
      </c>
      <c r="F23" s="9" t="inlineStr">
        <is>
          <t>US</t>
        </is>
      </c>
      <c r="G23" s="9" t="inlineStr">
        <is>
          <t>2026-02-07</t>
        </is>
      </c>
      <c r="H23" s="9" t="inlineStr">
        <is>
          <t>2026-02-09</t>
        </is>
      </c>
      <c r="I23" s="9" t="n">
        <v>57</v>
      </c>
      <c r="J23" s="9" t="n">
        <v>-2.23</v>
      </c>
      <c r="K23" s="9" t="n">
        <v>143616.99</v>
      </c>
      <c r="L23" s="9" t="n">
        <v>146900</v>
      </c>
      <c r="M23" s="9" t="inlineStr">
        <is>
          <t>Direct_Invoice_PO</t>
        </is>
      </c>
      <c r="N23" s="9" t="inlineStr">
        <is>
          <t>Y</t>
        </is>
      </c>
      <c r="O23" s="9" t="n">
        <v>6</v>
      </c>
      <c r="P23" s="9" t="inlineStr">
        <is>
          <t>1362897676;1610173760;1756350429;1925159146;1178198716;1588999385</t>
        </is>
      </c>
      <c r="Q23" s="9" t="inlineStr">
        <is>
          <t>Y</t>
        </is>
      </c>
      <c r="R23" s="9" t="inlineStr">
        <is>
          <t>N</t>
        </is>
      </c>
      <c r="S23" s="9" t="inlineStr">
        <is>
          <t>CVT-760356</t>
        </is>
      </c>
      <c r="T23" s="9" t="inlineStr">
        <is>
          <t>EXP-2026-703634</t>
        </is>
      </c>
      <c r="U23" s="9" t="inlineStr">
        <is>
          <t>Y</t>
        </is>
      </c>
      <c r="V23" s="9" t="n">
        <v>8</v>
      </c>
      <c r="W23" s="9" t="inlineStr">
        <is>
          <t>Y</t>
        </is>
      </c>
      <c r="X23" s="9" t="inlineStr">
        <is>
          <t>Approved</t>
        </is>
      </c>
      <c r="Y23" s="10">
        <f>IF(OR(ISBLANK(A23), ISBLANK(D23), ISBLANK(E23)), "FAIL", "PASS")</f>
        <v/>
      </c>
      <c r="Z23" s="10">
        <f>IF(H23&lt;G23, "FAIL", "PASS")</f>
        <v/>
      </c>
      <c r="AA23" s="10">
        <f>IF(AND(O23&gt;0, S23=""), "FAIL", "PASS")</f>
        <v/>
      </c>
      <c r="AB23" s="10">
        <f>IF(AND(F23="US", O23&gt;0, P23=""), "FAIL", "PASS")</f>
        <v/>
      </c>
      <c r="AC23" s="10">
        <f>IF(AND(OR(M23="Amex_BTA_Ghost", M23="Single_Use_Virtual_Card"), N23="N"), "FAIL", "PASS")</f>
        <v/>
      </c>
      <c r="AD23" s="10">
        <f>IF(OR(U23="N", V23&gt;14), "FAIL", "PASS")</f>
        <v/>
      </c>
      <c r="AE23" s="10">
        <f>IF(J23&gt;25, "FAIL", "PASS")</f>
        <v/>
      </c>
      <c r="AF23" s="10">
        <f>IF(COUNTIF(Y23:AE23, "FAIL")=0, "CLEAN", "FLAGGED")</f>
        <v/>
      </c>
    </row>
    <row r="24">
      <c r="A24" s="9" t="inlineStr">
        <is>
          <t>MTG-2026-10018</t>
        </is>
      </c>
      <c r="B24" s="9" t="inlineStr">
        <is>
          <t>Oncology</t>
        </is>
      </c>
      <c r="C24" s="9" t="inlineStr">
        <is>
          <t>Commercial_Launch</t>
        </is>
      </c>
      <c r="D24" s="9" t="inlineStr">
        <is>
          <t>CC-ONC-8821</t>
        </is>
      </c>
      <c r="E24" s="9" t="inlineStr">
        <is>
          <t>WBS-ONC-302-CLIN</t>
        </is>
      </c>
      <c r="F24" s="9" t="inlineStr">
        <is>
          <t>CH</t>
        </is>
      </c>
      <c r="G24" s="9" t="inlineStr">
        <is>
          <t>2026-08-31</t>
        </is>
      </c>
      <c r="H24" s="9" t="inlineStr">
        <is>
          <t>2026-09-01</t>
        </is>
      </c>
      <c r="I24" s="9" t="n">
        <v>72</v>
      </c>
      <c r="J24" s="9" t="n">
        <v>20</v>
      </c>
      <c r="K24" s="9" t="n">
        <v>400188.64</v>
      </c>
      <c r="L24" s="9" t="n">
        <v>333500</v>
      </c>
      <c r="M24" s="9" t="inlineStr">
        <is>
          <t>Corporate_T&amp;E_Card</t>
        </is>
      </c>
      <c r="N24" s="9" t="inlineStr">
        <is>
          <t>Y</t>
        </is>
      </c>
      <c r="O24" s="9" t="n">
        <v>33</v>
      </c>
      <c r="P24" s="9" t="inlineStr">
        <is>
          <t>EFPIA-CH-152657;EFPIA-CH-684482;EFPIA-CH-361303;EFPIA-CH-989545;EFPIA-CH-227253;EFPIA-CH-578634;EFPIA-CH-239816;EFPIA-CH-940346;EFPIA-CH-587213;EFPIA-CH-800005;EFPIA-CH-656932;EFPIA-CH-686075;EFPIA-CH-724377;EFPIA-CH-432711;EFPIA-CH-891937;EFPIA-CH-564071;EFPIA-CH-742412;EFPIA-CH-954596;EFPIA-CH-854213;EFPIA-CH-629298;EFPIA-CH-547470;EFPIA-CH-970914;EFPIA-CH-674485;EFPIA-CH-567574;EFPIA-CH-266889;EFPIA-CH-879779;EFPIA-CH-597732;EFPIA-CH-571932;EFPIA-CH-371782;EFPIA-CH-888295;EFPIA-CH-359249;EFPIA-CH-980660;EFPIA-CH-768636</t>
        </is>
      </c>
      <c r="Q24" s="9" t="inlineStr">
        <is>
          <t>Y</t>
        </is>
      </c>
      <c r="R24" s="9" t="inlineStr">
        <is>
          <t>Y</t>
        </is>
      </c>
      <c r="S24" s="9" t="inlineStr">
        <is>
          <t>CVT-915451</t>
        </is>
      </c>
      <c r="T24" s="9" t="inlineStr">
        <is>
          <t>EXP-2026-646622</t>
        </is>
      </c>
      <c r="U24" s="9" t="inlineStr">
        <is>
          <t>Y</t>
        </is>
      </c>
      <c r="V24" s="9" t="n">
        <v>5</v>
      </c>
      <c r="W24" s="9" t="inlineStr">
        <is>
          <t>Y</t>
        </is>
      </c>
      <c r="X24" s="9" t="inlineStr">
        <is>
          <t>Approved</t>
        </is>
      </c>
      <c r="Y24" s="10">
        <f>IF(OR(ISBLANK(A24), ISBLANK(D24), ISBLANK(E24)), "FAIL", "PASS")</f>
        <v/>
      </c>
      <c r="Z24" s="10">
        <f>IF(H24&lt;G24, "FAIL", "PASS")</f>
        <v/>
      </c>
      <c r="AA24" s="10">
        <f>IF(AND(O24&gt;0, S24=""), "FAIL", "PASS")</f>
        <v/>
      </c>
      <c r="AB24" s="10">
        <f>IF(AND(F24="US", O24&gt;0, P24=""), "FAIL", "PASS")</f>
        <v/>
      </c>
      <c r="AC24" s="10">
        <f>IF(AND(OR(M24="Amex_BTA_Ghost", M24="Single_Use_Virtual_Card"), N24="N"), "FAIL", "PASS")</f>
        <v/>
      </c>
      <c r="AD24" s="10">
        <f>IF(OR(U24="N", V24&gt;14), "FAIL", "PASS")</f>
        <v/>
      </c>
      <c r="AE24" s="10">
        <f>IF(J24&gt;25, "FAIL", "PASS")</f>
        <v/>
      </c>
      <c r="AF24" s="10">
        <f>IF(COUNTIF(Y24:AE24, "FAIL")=0, "CLEAN", "FLAGGED")</f>
        <v/>
      </c>
    </row>
    <row r="25">
      <c r="A25" s="9" t="inlineStr">
        <is>
          <t>MTG-2026-10019</t>
        </is>
      </c>
      <c r="B25" s="9" t="inlineStr">
        <is>
          <t>Rare_Disease</t>
        </is>
      </c>
      <c r="C25" s="9" t="inlineStr">
        <is>
          <t>Medical_Symposium</t>
        </is>
      </c>
      <c r="D25" s="9" t="inlineStr">
        <is>
          <t>CC-RD-9014</t>
        </is>
      </c>
      <c r="E25" s="9" t="inlineStr">
        <is>
          <t>WBS-RD-401-REG</t>
        </is>
      </c>
      <c r="F25" s="9" t="inlineStr">
        <is>
          <t>JP</t>
        </is>
      </c>
      <c r="G25" s="9" t="inlineStr">
        <is>
          <t>2026-04-10</t>
        </is>
      </c>
      <c r="H25" s="9" t="inlineStr">
        <is>
          <t>2026-04-13</t>
        </is>
      </c>
      <c r="I25" s="9" t="n">
        <v>87</v>
      </c>
      <c r="J25" s="9" t="n">
        <v>6.43</v>
      </c>
      <c r="K25" s="9" t="n">
        <v>166460.57</v>
      </c>
      <c r="L25" s="9" t="n">
        <v>156400</v>
      </c>
      <c r="M25" s="9" t="inlineStr">
        <is>
          <t>Single_Use_Virtual_Card</t>
        </is>
      </c>
      <c r="N25" s="9" t="inlineStr">
        <is>
          <t>Pending</t>
        </is>
      </c>
      <c r="O25" s="9" t="n">
        <v>13</v>
      </c>
      <c r="P25" s="9" t="inlineStr">
        <is>
          <t>EFPIA-JP-840734;EFPIA-JP-324345;EFPIA-JP-167348;EFPIA-JP-535020;EFPIA-JP-527398;EFPIA-JP-446954;EFPIA-JP-668969;EFPIA-JP-588557;EFPIA-JP-535970;EFPIA-JP-165290;EFPIA-JP-316881;EFPIA-JP-973349;EFPIA-JP-540552</t>
        </is>
      </c>
      <c r="Q25" s="9" t="inlineStr">
        <is>
          <t>Y</t>
        </is>
      </c>
      <c r="R25" s="9" t="inlineStr">
        <is>
          <t>N</t>
        </is>
      </c>
      <c r="S25" s="9" t="inlineStr">
        <is>
          <t>CVT-907189</t>
        </is>
      </c>
      <c r="T25" s="9" t="inlineStr">
        <is>
          <t>EXP-2026-712451</t>
        </is>
      </c>
      <c r="U25" s="9" t="inlineStr">
        <is>
          <t>Y</t>
        </is>
      </c>
      <c r="V25" s="9" t="n">
        <v>2</v>
      </c>
      <c r="W25" s="9" t="inlineStr">
        <is>
          <t>Y</t>
        </is>
      </c>
      <c r="X25" s="9" t="inlineStr">
        <is>
          <t>Approved</t>
        </is>
      </c>
      <c r="Y25" s="10">
        <f>IF(OR(ISBLANK(A25), ISBLANK(D25), ISBLANK(E25)), "FAIL", "PASS")</f>
        <v/>
      </c>
      <c r="Z25" s="10">
        <f>IF(H25&lt;G25, "FAIL", "PASS")</f>
        <v/>
      </c>
      <c r="AA25" s="10">
        <f>IF(AND(O25&gt;0, S25=""), "FAIL", "PASS")</f>
        <v/>
      </c>
      <c r="AB25" s="10">
        <f>IF(AND(F25="US", O25&gt;0, P25=""), "FAIL", "PASS")</f>
        <v/>
      </c>
      <c r="AC25" s="10">
        <f>IF(AND(OR(M25="Amex_BTA_Ghost", M25="Single_Use_Virtual_Card"), N25="N"), "FAIL", "PASS")</f>
        <v/>
      </c>
      <c r="AD25" s="10">
        <f>IF(OR(U25="N", V25&gt;14), "FAIL", "PASS")</f>
        <v/>
      </c>
      <c r="AE25" s="10">
        <f>IF(J25&gt;25, "FAIL", "PASS")</f>
        <v/>
      </c>
      <c r="AF25" s="10">
        <f>IF(COUNTIF(Y25:AE25, "FAIL")=0, "CLEAN", "FLAGGED")</f>
        <v/>
      </c>
    </row>
    <row r="26">
      <c r="A26" s="9" t="inlineStr">
        <is>
          <t>MTG-2026-10020</t>
        </is>
      </c>
      <c r="B26" s="9" t="inlineStr">
        <is>
          <t>Vaccines_Infectious</t>
        </is>
      </c>
      <c r="C26" s="9" t="inlineStr">
        <is>
          <t>Advisory_Board</t>
        </is>
      </c>
      <c r="D26" s="9" t="inlineStr">
        <is>
          <t>CC-VAC-6311</t>
        </is>
      </c>
      <c r="E26" s="9" t="inlineStr">
        <is>
          <t>WBS-VAC-205-GLB</t>
        </is>
      </c>
      <c r="F26" s="9" t="inlineStr">
        <is>
          <t>US</t>
        </is>
      </c>
      <c r="G26" s="9" t="inlineStr">
        <is>
          <t>2026-05-17</t>
        </is>
      </c>
      <c r="H26" s="9" t="inlineStr">
        <is>
          <t>2026-05-18</t>
        </is>
      </c>
      <c r="I26" s="9" t="n">
        <v>63</v>
      </c>
      <c r="J26" s="9" t="n">
        <v>-13.67</v>
      </c>
      <c r="K26" s="9" t="n">
        <v>74153.58</v>
      </c>
      <c r="L26" s="9" t="n">
        <v>85900</v>
      </c>
      <c r="M26" s="9" t="inlineStr">
        <is>
          <t>Single_Use_Virtual_Card</t>
        </is>
      </c>
      <c r="N26" s="9" t="inlineStr">
        <is>
          <t>Y</t>
        </is>
      </c>
      <c r="O26" s="9" t="n">
        <v>30</v>
      </c>
      <c r="P26" s="9" t="inlineStr">
        <is>
          <t>1677909930;1902638839;1888807316;1686405096;1958851904;1747737533;1336801619;1624232414;1335602191;1393062061;1567975319;1621454127;1131165166;1517532243;1460916347;1818197581;1829223044;1956998797;1534131719;1877583839;1277215428;1601856351;1237039296;1768143326;1673510887;1128955006;1523076025;1735540030;1706011277;1811890569</t>
        </is>
      </c>
      <c r="Q26" s="9" t="inlineStr">
        <is>
          <t>Y</t>
        </is>
      </c>
      <c r="R26" s="9" t="inlineStr">
        <is>
          <t>Y</t>
        </is>
      </c>
      <c r="S26" s="9" t="inlineStr">
        <is>
          <t>CVT-773971</t>
        </is>
      </c>
      <c r="T26" s="9" t="inlineStr">
        <is>
          <t>EXP-2026-549433</t>
        </is>
      </c>
      <c r="U26" s="9" t="inlineStr">
        <is>
          <t>Y</t>
        </is>
      </c>
      <c r="V26" s="9" t="n">
        <v>9</v>
      </c>
      <c r="W26" s="9" t="inlineStr">
        <is>
          <t>Y</t>
        </is>
      </c>
      <c r="X26" s="9" t="inlineStr">
        <is>
          <t>Approved</t>
        </is>
      </c>
      <c r="Y26" s="10">
        <f>IF(OR(ISBLANK(A26), ISBLANK(D26), ISBLANK(E26)), "FAIL", "PASS")</f>
        <v/>
      </c>
      <c r="Z26" s="10">
        <f>IF(H26&lt;G26, "FAIL", "PASS")</f>
        <v/>
      </c>
      <c r="AA26" s="10">
        <f>IF(AND(O26&gt;0, S26=""), "FAIL", "PASS")</f>
        <v/>
      </c>
      <c r="AB26" s="10">
        <f>IF(AND(F26="US", O26&gt;0, P26=""), "FAIL", "PASS")</f>
        <v/>
      </c>
      <c r="AC26" s="10">
        <f>IF(AND(OR(M26="Amex_BTA_Ghost", M26="Single_Use_Virtual_Card"), N26="N"), "FAIL", "PASS")</f>
        <v/>
      </c>
      <c r="AD26" s="10">
        <f>IF(OR(U26="N", V26&gt;14), "FAIL", "PASS")</f>
        <v/>
      </c>
      <c r="AE26" s="10">
        <f>IF(J26&gt;25, "FAIL", "PASS")</f>
        <v/>
      </c>
      <c r="AF26" s="10">
        <f>IF(COUNTIF(Y26:AE26, "FAIL")=0, "CLEAN", "FLAGGED")</f>
        <v/>
      </c>
    </row>
    <row r="27">
      <c r="A27" s="9" t="inlineStr">
        <is>
          <t>MTG-2026-10021</t>
        </is>
      </c>
      <c r="B27" s="9" t="inlineStr">
        <is>
          <t>Vaccines_Infectious</t>
        </is>
      </c>
      <c r="C27" s="9" t="inlineStr">
        <is>
          <t>Investigator_Meeting</t>
        </is>
      </c>
      <c r="D27" s="9" t="inlineStr">
        <is>
          <t>CC-VAC-6311</t>
        </is>
      </c>
      <c r="E27" s="9" t="inlineStr">
        <is>
          <t>WBS-VAC-205-GLB</t>
        </is>
      </c>
      <c r="F27" s="9" t="inlineStr">
        <is>
          <t>US</t>
        </is>
      </c>
      <c r="G27" s="9" t="inlineStr">
        <is>
          <t>2026-04-08</t>
        </is>
      </c>
      <c r="H27" s="9" t="inlineStr">
        <is>
          <t>2026-04-11</t>
        </is>
      </c>
      <c r="I27" s="9" t="n">
        <v>66</v>
      </c>
      <c r="J27" s="9" t="n">
        <v>-13.11</v>
      </c>
      <c r="K27" s="9" t="n">
        <v>170483.43</v>
      </c>
      <c r="L27" s="9" t="n">
        <v>196200</v>
      </c>
      <c r="M27" s="9" t="inlineStr">
        <is>
          <t>Corporate_T&amp;E_Card</t>
        </is>
      </c>
      <c r="N27" s="9" t="inlineStr">
        <is>
          <t>Y</t>
        </is>
      </c>
      <c r="O27" s="9" t="n">
        <v>20</v>
      </c>
      <c r="P27" s="9" t="inlineStr">
        <is>
          <t>1996478772;1187946147;1604988121;1120812641;1904258674;1679196799;1155926488;1475767056;1340756713;1798086909;1173678414;1938842599;1799816232;1143226844;1909851739;1133318206;1365518424;1314061901;1121882877;1767154083</t>
        </is>
      </c>
      <c r="Q27" s="9" t="inlineStr">
        <is>
          <t>Y</t>
        </is>
      </c>
      <c r="R27" s="9" t="inlineStr">
        <is>
          <t>Y</t>
        </is>
      </c>
      <c r="S27" s="9" t="inlineStr">
        <is>
          <t>CVT-232352</t>
        </is>
      </c>
      <c r="T27" s="9" t="inlineStr">
        <is>
          <t>EXP-2026-596564</t>
        </is>
      </c>
      <c r="U27" s="9" t="inlineStr">
        <is>
          <t>Y</t>
        </is>
      </c>
      <c r="V27" s="9" t="n">
        <v>11</v>
      </c>
      <c r="W27" s="9" t="inlineStr">
        <is>
          <t>Y</t>
        </is>
      </c>
      <c r="X27" s="9" t="inlineStr">
        <is>
          <t>Approved</t>
        </is>
      </c>
      <c r="Y27" s="10">
        <f>IF(OR(ISBLANK(A27), ISBLANK(D27), ISBLANK(E27)), "FAIL", "PASS")</f>
        <v/>
      </c>
      <c r="Z27" s="10">
        <f>IF(H27&lt;G27, "FAIL", "PASS")</f>
        <v/>
      </c>
      <c r="AA27" s="10">
        <f>IF(AND(O27&gt;0, S27=""), "FAIL", "PASS")</f>
        <v/>
      </c>
      <c r="AB27" s="10">
        <f>IF(AND(F27="US", O27&gt;0, P27=""), "FAIL", "PASS")</f>
        <v/>
      </c>
      <c r="AC27" s="10">
        <f>IF(AND(OR(M27="Amex_BTA_Ghost", M27="Single_Use_Virtual_Card"), N27="N"), "FAIL", "PASS")</f>
        <v/>
      </c>
      <c r="AD27" s="10">
        <f>IF(OR(U27="N", V27&gt;14), "FAIL", "PASS")</f>
        <v/>
      </c>
      <c r="AE27" s="10">
        <f>IF(J27&gt;25, "FAIL", "PASS")</f>
        <v/>
      </c>
      <c r="AF27" s="10">
        <f>IF(COUNTIF(Y27:AE27, "FAIL")=0, "CLEAN", "FLAGGED")</f>
        <v/>
      </c>
    </row>
    <row r="28">
      <c r="A28" s="9" t="inlineStr">
        <is>
          <t>MTG-2026-10022</t>
        </is>
      </c>
      <c r="B28" s="9" t="inlineStr">
        <is>
          <t>Rare_Disease</t>
        </is>
      </c>
      <c r="C28" s="9" t="inlineStr">
        <is>
          <t>Investigator_Meeting</t>
        </is>
      </c>
      <c r="D28" s="9" t="inlineStr">
        <is>
          <t>CC-RD-9014</t>
        </is>
      </c>
      <c r="E28" s="9" t="inlineStr">
        <is>
          <t>WBS-RD-401-REG</t>
        </is>
      </c>
      <c r="F28" s="9" t="inlineStr">
        <is>
          <t>US</t>
        </is>
      </c>
      <c r="G28" s="9" t="inlineStr">
        <is>
          <t>2026-07-30</t>
        </is>
      </c>
      <c r="H28" s="9" t="inlineStr">
        <is>
          <t>2026-08-02</t>
        </is>
      </c>
      <c r="I28" s="9" t="n">
        <v>39</v>
      </c>
      <c r="J28" s="9" t="n">
        <v>-6.29</v>
      </c>
      <c r="K28" s="9" t="n">
        <v>123513.12</v>
      </c>
      <c r="L28" s="9" t="n">
        <v>131800</v>
      </c>
      <c r="M28" s="9" t="inlineStr">
        <is>
          <t>Amex_BTA_Ghost</t>
        </is>
      </c>
      <c r="N28" s="9" t="inlineStr">
        <is>
          <t>Y</t>
        </is>
      </c>
      <c r="O28" s="9" t="n">
        <v>11</v>
      </c>
      <c r="P28" s="9" t="inlineStr">
        <is>
          <t>1935147672;1979717936;1275842194;1433975497;1216070149;1721358005;1127571992;1434961542;1718257024;1827296111;1502982778</t>
        </is>
      </c>
      <c r="Q28" s="9" t="inlineStr">
        <is>
          <t>Y</t>
        </is>
      </c>
      <c r="R28" s="9" t="inlineStr">
        <is>
          <t>N</t>
        </is>
      </c>
      <c r="S28" s="9" t="inlineStr">
        <is>
          <t>CVT-849747</t>
        </is>
      </c>
      <c r="T28" s="9" t="inlineStr">
        <is>
          <t>EXP-2026-307963</t>
        </is>
      </c>
      <c r="U28" s="9" t="inlineStr">
        <is>
          <t>Y</t>
        </is>
      </c>
      <c r="V28" s="9" t="n">
        <v>5</v>
      </c>
      <c r="W28" s="9" t="inlineStr">
        <is>
          <t>Y</t>
        </is>
      </c>
      <c r="X28" s="9" t="inlineStr">
        <is>
          <t>Approved</t>
        </is>
      </c>
      <c r="Y28" s="10">
        <f>IF(OR(ISBLANK(A28), ISBLANK(D28), ISBLANK(E28)), "FAIL", "PASS")</f>
        <v/>
      </c>
      <c r="Z28" s="10">
        <f>IF(H28&lt;G28, "FAIL", "PASS")</f>
        <v/>
      </c>
      <c r="AA28" s="10">
        <f>IF(AND(O28&gt;0, S28=""), "FAIL", "PASS")</f>
        <v/>
      </c>
      <c r="AB28" s="10">
        <f>IF(AND(F28="US", O28&gt;0, P28=""), "FAIL", "PASS")</f>
        <v/>
      </c>
      <c r="AC28" s="10">
        <f>IF(AND(OR(M28="Amex_BTA_Ghost", M28="Single_Use_Virtual_Card"), N28="N"), "FAIL", "PASS")</f>
        <v/>
      </c>
      <c r="AD28" s="10">
        <f>IF(OR(U28="N", V28&gt;14), "FAIL", "PASS")</f>
        <v/>
      </c>
      <c r="AE28" s="10">
        <f>IF(J28&gt;25, "FAIL", "PASS")</f>
        <v/>
      </c>
      <c r="AF28" s="10">
        <f>IF(COUNTIF(Y28:AE28, "FAIL")=0, "CLEAN", "FLAGGED")</f>
        <v/>
      </c>
    </row>
    <row r="29">
      <c r="A29" s="9" t="inlineStr">
        <is>
          <t>MTG-2026-10023</t>
        </is>
      </c>
      <c r="B29" s="9" t="inlineStr">
        <is>
          <t>Oncology</t>
        </is>
      </c>
      <c r="C29" s="9" t="inlineStr">
        <is>
          <t>Advisory_Board</t>
        </is>
      </c>
      <c r="D29" s="9" t="inlineStr">
        <is>
          <t>CC-ONC-8821</t>
        </is>
      </c>
      <c r="E29" s="9" t="inlineStr">
        <is>
          <t>WBS-RD-401-REG</t>
        </is>
      </c>
      <c r="F29" s="9" t="inlineStr">
        <is>
          <t>FR</t>
        </is>
      </c>
      <c r="G29" s="9" t="inlineStr">
        <is>
          <t>2026-08-06</t>
        </is>
      </c>
      <c r="H29" s="9" t="inlineStr">
        <is>
          <t>2026-08-07</t>
        </is>
      </c>
      <c r="I29" s="9" t="n">
        <v>62</v>
      </c>
      <c r="J29" s="9" t="n">
        <v>5.35</v>
      </c>
      <c r="K29" s="9" t="n">
        <v>70162.03</v>
      </c>
      <c r="L29" s="9" t="n">
        <v>66600</v>
      </c>
      <c r="M29" s="9" t="inlineStr">
        <is>
          <t>Single_Use_Virtual_Card</t>
        </is>
      </c>
      <c r="N29" s="9" t="inlineStr">
        <is>
          <t>N</t>
        </is>
      </c>
      <c r="O29" s="9" t="n">
        <v>25</v>
      </c>
      <c r="P29" s="9" t="inlineStr">
        <is>
          <t>EFPIA-FR-113266;EFPIA-FR-990844;EFPIA-FR-540463;EFPIA-FR-962276;EFPIA-FR-614013;EFPIA-FR-210665;EFPIA-FR-554582;EFPIA-FR-479781;EFPIA-FR-766459;EFPIA-FR-968962;EFPIA-FR-582071;EFPIA-FR-841666;EFPIA-FR-260422;EFPIA-FR-556641;EFPIA-FR-284692;EFPIA-FR-869440;EFPIA-FR-647091;EFPIA-FR-782054;EFPIA-FR-383201;EFPIA-FR-745830;EFPIA-FR-947458;EFPIA-FR-664315;EFPIA-FR-912270;EFPIA-FR-606983;EFPIA-FR-587455</t>
        </is>
      </c>
      <c r="Q29" s="9" t="inlineStr">
        <is>
          <t>Y</t>
        </is>
      </c>
      <c r="R29" s="9" t="inlineStr">
        <is>
          <t>N</t>
        </is>
      </c>
      <c r="S29" s="9" t="inlineStr">
        <is>
          <t>CVT-866536</t>
        </is>
      </c>
      <c r="T29" s="9" t="inlineStr"/>
      <c r="U29" s="9" t="inlineStr">
        <is>
          <t>Y</t>
        </is>
      </c>
      <c r="V29" s="9" t="n">
        <v>5</v>
      </c>
      <c r="W29" s="9" t="inlineStr">
        <is>
          <t>Y</t>
        </is>
      </c>
      <c r="X29" s="9" t="inlineStr">
        <is>
          <t>Approved</t>
        </is>
      </c>
      <c r="Y29" s="10">
        <f>IF(OR(ISBLANK(A29), ISBLANK(D29), ISBLANK(E29)), "FAIL", "PASS")</f>
        <v/>
      </c>
      <c r="Z29" s="10">
        <f>IF(H29&lt;G29, "FAIL", "PASS")</f>
        <v/>
      </c>
      <c r="AA29" s="10">
        <f>IF(AND(O29&gt;0, S29=""), "FAIL", "PASS")</f>
        <v/>
      </c>
      <c r="AB29" s="10">
        <f>IF(AND(F29="US", O29&gt;0, P29=""), "FAIL", "PASS")</f>
        <v/>
      </c>
      <c r="AC29" s="10">
        <f>IF(AND(OR(M29="Amex_BTA_Ghost", M29="Single_Use_Virtual_Card"), N29="N"), "FAIL", "PASS")</f>
        <v/>
      </c>
      <c r="AD29" s="10">
        <f>IF(OR(U29="N", V29&gt;14), "FAIL", "PASS")</f>
        <v/>
      </c>
      <c r="AE29" s="10">
        <f>IF(J29&gt;25, "FAIL", "PASS")</f>
        <v/>
      </c>
      <c r="AF29" s="10">
        <f>IF(COUNTIF(Y29:AE29, "FAIL")=0, "CLEAN", "FLAGGED")</f>
        <v/>
      </c>
    </row>
    <row r="30">
      <c r="A30" s="9" t="inlineStr">
        <is>
          <t>MTG-2026-10024</t>
        </is>
      </c>
      <c r="B30" s="9" t="inlineStr">
        <is>
          <t>Immunology_Inflammation</t>
        </is>
      </c>
      <c r="C30" s="9" t="inlineStr">
        <is>
          <t>Satellite_Symposium</t>
        </is>
      </c>
      <c r="D30" s="9" t="inlineStr">
        <is>
          <t>CC-IMM-4102</t>
        </is>
      </c>
      <c r="E30" s="9" t="inlineStr">
        <is>
          <t>WBS-IMM-108-PH3</t>
        </is>
      </c>
      <c r="F30" s="9" t="inlineStr">
        <is>
          <t>FR</t>
        </is>
      </c>
      <c r="G30" s="9" t="inlineStr">
        <is>
          <t>2026-07-26</t>
        </is>
      </c>
      <c r="H30" s="9" t="inlineStr">
        <is>
          <t>2026-07-30</t>
        </is>
      </c>
      <c r="I30" s="9" t="n">
        <v>90</v>
      </c>
      <c r="J30" s="9" t="n">
        <v>-4.31</v>
      </c>
      <c r="K30" s="9" t="n">
        <v>55309.6</v>
      </c>
      <c r="L30" s="9" t="n">
        <v>57800</v>
      </c>
      <c r="M30" s="9" t="inlineStr">
        <is>
          <t>Single_Use_Virtual_Card</t>
        </is>
      </c>
      <c r="N30" s="9" t="inlineStr">
        <is>
          <t>Y</t>
        </is>
      </c>
      <c r="O30" s="9" t="n">
        <v>35</v>
      </c>
      <c r="P30" s="9" t="inlineStr">
        <is>
          <t>EFPIA-FR-992288;EFPIA-FR-440802;EFPIA-FR-290672;EFPIA-FR-611233;EFPIA-FR-322423;EFPIA-FR-472060;EFPIA-FR-936587;EFPIA-FR-370902;EFPIA-FR-456871;EFPIA-FR-393243;EFPIA-FR-725113;EFPIA-FR-835244;EFPIA-FR-389688;EFPIA-FR-682789;EFPIA-FR-110644;EFPIA-FR-641722;EFPIA-FR-300337;EFPIA-FR-189771;EFPIA-FR-353080;EFPIA-FR-855053;EFPIA-FR-526170;EFPIA-FR-612311;EFPIA-FR-682144;EFPIA-FR-894993;EFPIA-FR-351997;EFPIA-FR-824156;EFPIA-FR-599219;EFPIA-FR-777278;EFPIA-FR-846420;EFPIA-FR-614663;EFPIA-FR-569945;EFPIA-FR-931450;EFPIA-FR-118080;EFPIA-FR-197573;EFPIA-FR-408528</t>
        </is>
      </c>
      <c r="Q30" s="9" t="inlineStr">
        <is>
          <t>Y</t>
        </is>
      </c>
      <c r="R30" s="9" t="inlineStr">
        <is>
          <t>Y</t>
        </is>
      </c>
      <c r="S30" s="9" t="inlineStr">
        <is>
          <t>CVT-825391</t>
        </is>
      </c>
      <c r="T30" s="9" t="inlineStr">
        <is>
          <t>EXP-2026-355123</t>
        </is>
      </c>
      <c r="U30" s="9" t="inlineStr">
        <is>
          <t>Y</t>
        </is>
      </c>
      <c r="V30" s="9" t="n">
        <v>11</v>
      </c>
      <c r="W30" s="9" t="inlineStr">
        <is>
          <t>Y</t>
        </is>
      </c>
      <c r="X30" s="9" t="inlineStr">
        <is>
          <t>Approved</t>
        </is>
      </c>
      <c r="Y30" s="10">
        <f>IF(OR(ISBLANK(A30), ISBLANK(D30), ISBLANK(E30)), "FAIL", "PASS")</f>
        <v/>
      </c>
      <c r="Z30" s="10">
        <f>IF(H30&lt;G30, "FAIL", "PASS")</f>
        <v/>
      </c>
      <c r="AA30" s="10">
        <f>IF(AND(O30&gt;0, S30=""), "FAIL", "PASS")</f>
        <v/>
      </c>
      <c r="AB30" s="10">
        <f>IF(AND(F30="US", O30&gt;0, P30=""), "FAIL", "PASS")</f>
        <v/>
      </c>
      <c r="AC30" s="10">
        <f>IF(AND(OR(M30="Amex_BTA_Ghost", M30="Single_Use_Virtual_Card"), N30="N"), "FAIL", "PASS")</f>
        <v/>
      </c>
      <c r="AD30" s="10">
        <f>IF(OR(U30="N", V30&gt;14), "FAIL", "PASS")</f>
        <v/>
      </c>
      <c r="AE30" s="10">
        <f>IF(J30&gt;25, "FAIL", "PASS")</f>
        <v/>
      </c>
      <c r="AF30" s="10">
        <f>IF(COUNTIF(Y30:AE30, "FAIL")=0, "CLEAN", "FLAGGED")</f>
        <v/>
      </c>
    </row>
    <row r="31">
      <c r="A31" s="9" t="inlineStr">
        <is>
          <t>MTG-2026-10025</t>
        </is>
      </c>
      <c r="B31" s="9" t="inlineStr">
        <is>
          <t>Rare_Disease</t>
        </is>
      </c>
      <c r="C31" s="9" t="inlineStr">
        <is>
          <t>Advisory_Board</t>
        </is>
      </c>
      <c r="D31" s="9" t="inlineStr">
        <is>
          <t>CC-RD-9014</t>
        </is>
      </c>
      <c r="E31" s="9" t="inlineStr">
        <is>
          <t>WBS-RD-401-REG</t>
        </is>
      </c>
      <c r="F31" s="9" t="inlineStr">
        <is>
          <t>FR</t>
        </is>
      </c>
      <c r="G31" s="9" t="inlineStr">
        <is>
          <t>2026-04-15</t>
        </is>
      </c>
      <c r="H31" s="9" t="inlineStr">
        <is>
          <t>2026-04-19</t>
        </is>
      </c>
      <c r="I31" s="9" t="n">
        <v>52</v>
      </c>
      <c r="J31" s="9" t="n">
        <v>6.06</v>
      </c>
      <c r="K31" s="9" t="n">
        <v>90042.14</v>
      </c>
      <c r="L31" s="9" t="n">
        <v>84900</v>
      </c>
      <c r="M31" s="9" t="inlineStr">
        <is>
          <t>Amex_BTA_Ghost</t>
        </is>
      </c>
      <c r="N31" s="9" t="inlineStr">
        <is>
          <t>Y</t>
        </is>
      </c>
      <c r="O31" s="9" t="n">
        <v>16</v>
      </c>
      <c r="P31" s="9" t="inlineStr">
        <is>
          <t>EFPIA-FR-430876;EFPIA-FR-225362;EFPIA-FR-878967;EFPIA-FR-661894;EFPIA-FR-899213;EFPIA-FR-823688;EFPIA-FR-294143;EFPIA-FR-300845;EFPIA-FR-326895;EFPIA-FR-874483;EFPIA-FR-607719;EFPIA-FR-389930;EFPIA-FR-859782;EFPIA-FR-718226;EFPIA-FR-897135;EFPIA-FR-650121</t>
        </is>
      </c>
      <c r="Q31" s="9" t="inlineStr">
        <is>
          <t>Y</t>
        </is>
      </c>
      <c r="R31" s="9" t="inlineStr">
        <is>
          <t>N</t>
        </is>
      </c>
      <c r="S31" s="9" t="inlineStr">
        <is>
          <t>CVT-205409</t>
        </is>
      </c>
      <c r="T31" s="9" t="inlineStr">
        <is>
          <t>EXP-2026-973074</t>
        </is>
      </c>
      <c r="U31" s="9" t="inlineStr">
        <is>
          <t>Y</t>
        </is>
      </c>
      <c r="V31" s="9" t="n">
        <v>5</v>
      </c>
      <c r="W31" s="9" t="inlineStr">
        <is>
          <t>Y</t>
        </is>
      </c>
      <c r="X31" s="9" t="inlineStr">
        <is>
          <t>Approved</t>
        </is>
      </c>
      <c r="Y31" s="10">
        <f>IF(OR(ISBLANK(A31), ISBLANK(D31), ISBLANK(E31)), "FAIL", "PASS")</f>
        <v/>
      </c>
      <c r="Z31" s="10">
        <f>IF(H31&lt;G31, "FAIL", "PASS")</f>
        <v/>
      </c>
      <c r="AA31" s="10">
        <f>IF(AND(O31&gt;0, S31=""), "FAIL", "PASS")</f>
        <v/>
      </c>
      <c r="AB31" s="10">
        <f>IF(AND(F31="US", O31&gt;0, P31=""), "FAIL", "PASS")</f>
        <v/>
      </c>
      <c r="AC31" s="10">
        <f>IF(AND(OR(M31="Amex_BTA_Ghost", M31="Single_Use_Virtual_Card"), N31="N"), "FAIL", "PASS")</f>
        <v/>
      </c>
      <c r="AD31" s="10">
        <f>IF(OR(U31="N", V31&gt;14), "FAIL", "PASS")</f>
        <v/>
      </c>
      <c r="AE31" s="10">
        <f>IF(J31&gt;25, "FAIL", "PASS")</f>
        <v/>
      </c>
      <c r="AF31" s="10">
        <f>IF(COUNTIF(Y31:AE31, "FAIL")=0, "CLEAN", "FLAGGED")</f>
        <v/>
      </c>
    </row>
    <row r="32">
      <c r="A32" s="9" t="inlineStr">
        <is>
          <t>MTG-2026-10026</t>
        </is>
      </c>
      <c r="B32" s="9" t="inlineStr">
        <is>
          <t>Immunology_Inflammation</t>
        </is>
      </c>
      <c r="C32" s="9" t="inlineStr">
        <is>
          <t>Commercial_Launch</t>
        </is>
      </c>
      <c r="D32" s="9" t="inlineStr">
        <is>
          <t>CC-IMM-4102</t>
        </is>
      </c>
      <c r="E32" s="9" t="inlineStr">
        <is>
          <t>WBS-IMM-108-PH3</t>
        </is>
      </c>
      <c r="F32" s="9" t="inlineStr">
        <is>
          <t>FR</t>
        </is>
      </c>
      <c r="G32" s="9" t="inlineStr">
        <is>
          <t>2026-03-26</t>
        </is>
      </c>
      <c r="H32" s="9" t="inlineStr">
        <is>
          <t>2026-03-27</t>
        </is>
      </c>
      <c r="I32" s="9" t="n">
        <v>24</v>
      </c>
      <c r="J32" s="9" t="n">
        <v>20.54</v>
      </c>
      <c r="K32" s="9" t="n">
        <v>264232.23</v>
      </c>
      <c r="L32" s="9" t="n">
        <v>219200</v>
      </c>
      <c r="M32" s="9" t="inlineStr">
        <is>
          <t>Single_Use_Virtual_Card</t>
        </is>
      </c>
      <c r="N32" s="9" t="inlineStr">
        <is>
          <t>Y</t>
        </is>
      </c>
      <c r="O32" s="9" t="n">
        <v>35</v>
      </c>
      <c r="P32" s="9" t="inlineStr">
        <is>
          <t>EFPIA-FR-207570;EFPIA-FR-112861;EFPIA-FR-701949;EFPIA-FR-398151;EFPIA-FR-592198;EFPIA-FR-601968;EFPIA-FR-561865;EFPIA-FR-457256;EFPIA-FR-293319;EFPIA-FR-153872;EFPIA-FR-364742;EFPIA-FR-600935;EFPIA-FR-219629;EFPIA-FR-962050;EFPIA-FR-168517;EFPIA-FR-520172;EFPIA-FR-615633;EFPIA-FR-177680;EFPIA-FR-705050;EFPIA-FR-760021;EFPIA-FR-819796;EFPIA-FR-156213;EFPIA-FR-259097;EFPIA-FR-256445;EFPIA-FR-950544;EFPIA-FR-690180;EFPIA-FR-418594;EFPIA-FR-189318;EFPIA-FR-360247;EFPIA-FR-224205;EFPIA-FR-685181;EFPIA-FR-901577;EFPIA-FR-536390;EFPIA-FR-735770;EFPIA-FR-725084</t>
        </is>
      </c>
      <c r="Q32" s="9" t="inlineStr">
        <is>
          <t>Y</t>
        </is>
      </c>
      <c r="R32" s="9" t="inlineStr">
        <is>
          <t>N</t>
        </is>
      </c>
      <c r="S32" s="9" t="inlineStr">
        <is>
          <t>CVT-336650</t>
        </is>
      </c>
      <c r="T32" s="9" t="inlineStr">
        <is>
          <t>EXP-2026-913373</t>
        </is>
      </c>
      <c r="U32" s="9" t="inlineStr">
        <is>
          <t>Y</t>
        </is>
      </c>
      <c r="V32" s="9" t="n">
        <v>9</v>
      </c>
      <c r="W32" s="9" t="inlineStr">
        <is>
          <t>Y</t>
        </is>
      </c>
      <c r="X32" s="9" t="inlineStr">
        <is>
          <t>Approved</t>
        </is>
      </c>
      <c r="Y32" s="10">
        <f>IF(OR(ISBLANK(A32), ISBLANK(D32), ISBLANK(E32)), "FAIL", "PASS")</f>
        <v/>
      </c>
      <c r="Z32" s="10">
        <f>IF(H32&lt;G32, "FAIL", "PASS")</f>
        <v/>
      </c>
      <c r="AA32" s="10">
        <f>IF(AND(O32&gt;0, S32=""), "FAIL", "PASS")</f>
        <v/>
      </c>
      <c r="AB32" s="10">
        <f>IF(AND(F32="US", O32&gt;0, P32=""), "FAIL", "PASS")</f>
        <v/>
      </c>
      <c r="AC32" s="10">
        <f>IF(AND(OR(M32="Amex_BTA_Ghost", M32="Single_Use_Virtual_Card"), N32="N"), "FAIL", "PASS")</f>
        <v/>
      </c>
      <c r="AD32" s="10">
        <f>IF(OR(U32="N", V32&gt;14), "FAIL", "PASS")</f>
        <v/>
      </c>
      <c r="AE32" s="10">
        <f>IF(J32&gt;25, "FAIL", "PASS")</f>
        <v/>
      </c>
      <c r="AF32" s="10">
        <f>IF(COUNTIF(Y32:AE32, "FAIL")=0, "CLEAN", "FLAGGED")</f>
        <v/>
      </c>
    </row>
    <row r="33">
      <c r="A33" s="9" t="inlineStr">
        <is>
          <t>MTG-2026-10027</t>
        </is>
      </c>
      <c r="B33" s="9" t="inlineStr">
        <is>
          <t>Vaccines_Infectious</t>
        </is>
      </c>
      <c r="C33" s="9" t="inlineStr">
        <is>
          <t>Investigator_Meeting</t>
        </is>
      </c>
      <c r="D33" s="9" t="inlineStr">
        <is>
          <t>CC-VAC-6311</t>
        </is>
      </c>
      <c r="E33" s="9" t="inlineStr">
        <is>
          <t>WBS-VAC-205-GLB</t>
        </is>
      </c>
      <c r="F33" s="9" t="inlineStr">
        <is>
          <t>US</t>
        </is>
      </c>
      <c r="G33" s="9" t="inlineStr">
        <is>
          <t>2026-04-03</t>
        </is>
      </c>
      <c r="H33" s="9" t="inlineStr">
        <is>
          <t>2026-04-04</t>
        </is>
      </c>
      <c r="I33" s="9" t="n">
        <v>30</v>
      </c>
      <c r="J33" s="9" t="n">
        <v>7.32</v>
      </c>
      <c r="K33" s="9" t="n">
        <v>218708.9</v>
      </c>
      <c r="L33" s="9" t="n">
        <v>203800</v>
      </c>
      <c r="M33" s="9" t="inlineStr">
        <is>
          <t>Corporate_T&amp;E_Card</t>
        </is>
      </c>
      <c r="N33" s="9" t="inlineStr">
        <is>
          <t>Y</t>
        </is>
      </c>
      <c r="O33" s="9" t="n">
        <v>9</v>
      </c>
      <c r="P33" s="9" t="inlineStr">
        <is>
          <t>1268638768;1357553274;1286630878;1692697161;1180600295;1268075622;1102873038;1538642403;1583724666</t>
        </is>
      </c>
      <c r="Q33" s="9" t="inlineStr">
        <is>
          <t>Y</t>
        </is>
      </c>
      <c r="R33" s="9" t="inlineStr">
        <is>
          <t>N</t>
        </is>
      </c>
      <c r="S33" s="9" t="inlineStr">
        <is>
          <t>CVT-592738</t>
        </is>
      </c>
      <c r="T33" s="9" t="inlineStr">
        <is>
          <t>EXP-2026-405407</t>
        </is>
      </c>
      <c r="U33" s="9" t="inlineStr">
        <is>
          <t>Y</t>
        </is>
      </c>
      <c r="V33" s="9" t="n">
        <v>6</v>
      </c>
      <c r="W33" s="9" t="inlineStr">
        <is>
          <t>Y</t>
        </is>
      </c>
      <c r="X33" s="9" t="inlineStr">
        <is>
          <t>Approved</t>
        </is>
      </c>
      <c r="Y33" s="10">
        <f>IF(OR(ISBLANK(A33), ISBLANK(D33), ISBLANK(E33)), "FAIL", "PASS")</f>
        <v/>
      </c>
      <c r="Z33" s="10">
        <f>IF(H33&lt;G33, "FAIL", "PASS")</f>
        <v/>
      </c>
      <c r="AA33" s="10">
        <f>IF(AND(O33&gt;0, S33=""), "FAIL", "PASS")</f>
        <v/>
      </c>
      <c r="AB33" s="10">
        <f>IF(AND(F33="US", O33&gt;0, P33=""), "FAIL", "PASS")</f>
        <v/>
      </c>
      <c r="AC33" s="10">
        <f>IF(AND(OR(M33="Amex_BTA_Ghost", M33="Single_Use_Virtual_Card"), N33="N"), "FAIL", "PASS")</f>
        <v/>
      </c>
      <c r="AD33" s="10">
        <f>IF(OR(U33="N", V33&gt;14), "FAIL", "PASS")</f>
        <v/>
      </c>
      <c r="AE33" s="10">
        <f>IF(J33&gt;25, "FAIL", "PASS")</f>
        <v/>
      </c>
      <c r="AF33" s="10">
        <f>IF(COUNTIF(Y33:AE33, "FAIL")=0, "CLEAN", "FLAGGED")</f>
        <v/>
      </c>
    </row>
    <row r="34">
      <c r="A34" s="9" t="inlineStr">
        <is>
          <t>MTG-2026-10028</t>
        </is>
      </c>
      <c r="B34" s="9" t="inlineStr">
        <is>
          <t>Vaccines_Infectious</t>
        </is>
      </c>
      <c r="C34" s="9" t="inlineStr">
        <is>
          <t>Medical_Symposium</t>
        </is>
      </c>
      <c r="D34" s="9" t="inlineStr">
        <is>
          <t>CC-VAC-6311</t>
        </is>
      </c>
      <c r="E34" s="9" t="inlineStr">
        <is>
          <t>WBS-VAC-205-GLB</t>
        </is>
      </c>
      <c r="F34" s="9" t="inlineStr">
        <is>
          <t>US</t>
        </is>
      </c>
      <c r="G34" s="9" t="inlineStr">
        <is>
          <t>2026-02-02</t>
        </is>
      </c>
      <c r="H34" s="9" t="inlineStr">
        <is>
          <t>2026-02-04</t>
        </is>
      </c>
      <c r="I34" s="9" t="n">
        <v>51</v>
      </c>
      <c r="J34" s="9" t="n">
        <v>-8.32</v>
      </c>
      <c r="K34" s="9" t="n">
        <v>139348.78</v>
      </c>
      <c r="L34" s="9" t="n">
        <v>152000</v>
      </c>
      <c r="M34" s="9" t="inlineStr">
        <is>
          <t>Single_Use_Virtual_Card</t>
        </is>
      </c>
      <c r="N34" s="9" t="inlineStr">
        <is>
          <t>Y</t>
        </is>
      </c>
      <c r="O34" s="9" t="n">
        <v>16</v>
      </c>
      <c r="P34" s="9" t="inlineStr">
        <is>
          <t>1556489494;1223240112;1684719405;1341387305;1795392488;1259976144;1385220694;1987588450;1252725050;1176675731;1164035859;1278158234;1951078441;1430295664;1738923667;1904187231</t>
        </is>
      </c>
      <c r="Q34" s="9" t="inlineStr">
        <is>
          <t>Y</t>
        </is>
      </c>
      <c r="R34" s="9" t="inlineStr">
        <is>
          <t>N</t>
        </is>
      </c>
      <c r="S34" s="9" t="inlineStr">
        <is>
          <t>CVT-402630</t>
        </is>
      </c>
      <c r="T34" s="9" t="inlineStr">
        <is>
          <t>EXP-2026-560485</t>
        </is>
      </c>
      <c r="U34" s="9" t="inlineStr">
        <is>
          <t>Y</t>
        </is>
      </c>
      <c r="V34" s="9" t="n">
        <v>6</v>
      </c>
      <c r="W34" s="9" t="inlineStr">
        <is>
          <t>Y</t>
        </is>
      </c>
      <c r="X34" s="9" t="inlineStr">
        <is>
          <t>Approved</t>
        </is>
      </c>
      <c r="Y34" s="10">
        <f>IF(OR(ISBLANK(A34), ISBLANK(D34), ISBLANK(E34)), "FAIL", "PASS")</f>
        <v/>
      </c>
      <c r="Z34" s="10">
        <f>IF(H34&lt;G34, "FAIL", "PASS")</f>
        <v/>
      </c>
      <c r="AA34" s="10">
        <f>IF(AND(O34&gt;0, S34=""), "FAIL", "PASS")</f>
        <v/>
      </c>
      <c r="AB34" s="10">
        <f>IF(AND(F34="US", O34&gt;0, P34=""), "FAIL", "PASS")</f>
        <v/>
      </c>
      <c r="AC34" s="10">
        <f>IF(AND(OR(M34="Amex_BTA_Ghost", M34="Single_Use_Virtual_Card"), N34="N"), "FAIL", "PASS")</f>
        <v/>
      </c>
      <c r="AD34" s="10">
        <f>IF(OR(U34="N", V34&gt;14), "FAIL", "PASS")</f>
        <v/>
      </c>
      <c r="AE34" s="10">
        <f>IF(J34&gt;25, "FAIL", "PASS")</f>
        <v/>
      </c>
      <c r="AF34" s="10">
        <f>IF(COUNTIF(Y34:AE34, "FAIL")=0, "CLEAN", "FLAGGED")</f>
        <v/>
      </c>
    </row>
    <row r="35">
      <c r="A35" s="9" t="inlineStr">
        <is>
          <t>MTG-2026-10029</t>
        </is>
      </c>
      <c r="B35" s="9" t="inlineStr">
        <is>
          <t>Vaccines_Infectious</t>
        </is>
      </c>
      <c r="C35" s="9" t="inlineStr">
        <is>
          <t>Investigator_Meeting</t>
        </is>
      </c>
      <c r="D35" s="9" t="inlineStr">
        <is>
          <t>CC-VAC-6311</t>
        </is>
      </c>
      <c r="E35" s="9" t="inlineStr">
        <is>
          <t>WBS-VAC-205-GLB</t>
        </is>
      </c>
      <c r="F35" s="9" t="inlineStr">
        <is>
          <t>US</t>
        </is>
      </c>
      <c r="G35" s="9" t="inlineStr">
        <is>
          <t>2026-05-07</t>
        </is>
      </c>
      <c r="H35" s="9" t="inlineStr">
        <is>
          <t>2026-05-08</t>
        </is>
      </c>
      <c r="I35" s="9" t="n">
        <v>23</v>
      </c>
      <c r="J35" s="9" t="n">
        <v>-8.83</v>
      </c>
      <c r="K35" s="9" t="n">
        <v>171940.1</v>
      </c>
      <c r="L35" s="9" t="n">
        <v>188600</v>
      </c>
      <c r="M35" s="9" t="inlineStr">
        <is>
          <t>Amex_BTA_Ghost</t>
        </is>
      </c>
      <c r="N35" s="9" t="inlineStr">
        <is>
          <t>Y</t>
        </is>
      </c>
      <c r="O35" s="9" t="n">
        <v>5</v>
      </c>
      <c r="P35" s="9" t="inlineStr">
        <is>
          <t>1198061499;1345805719;1824022357;1997603725;1717615339</t>
        </is>
      </c>
      <c r="Q35" s="9" t="inlineStr">
        <is>
          <t>Y</t>
        </is>
      </c>
      <c r="R35" s="9" t="inlineStr">
        <is>
          <t>N</t>
        </is>
      </c>
      <c r="S35" s="9" t="inlineStr">
        <is>
          <t>CVT-121753</t>
        </is>
      </c>
      <c r="T35" s="9" t="inlineStr">
        <is>
          <t>EXP-2026-901909</t>
        </is>
      </c>
      <c r="U35" s="9" t="inlineStr">
        <is>
          <t>Y</t>
        </is>
      </c>
      <c r="V35" s="9" t="n">
        <v>6</v>
      </c>
      <c r="W35" s="9" t="inlineStr">
        <is>
          <t>Y</t>
        </is>
      </c>
      <c r="X35" s="9" t="inlineStr">
        <is>
          <t>Approved</t>
        </is>
      </c>
      <c r="Y35" s="10">
        <f>IF(OR(ISBLANK(A35), ISBLANK(D35), ISBLANK(E35)), "FAIL", "PASS")</f>
        <v/>
      </c>
      <c r="Z35" s="10">
        <f>IF(H35&lt;G35, "FAIL", "PASS")</f>
        <v/>
      </c>
      <c r="AA35" s="10">
        <f>IF(AND(O35&gt;0, S35=""), "FAIL", "PASS")</f>
        <v/>
      </c>
      <c r="AB35" s="10">
        <f>IF(AND(F35="US", O35&gt;0, P35=""), "FAIL", "PASS")</f>
        <v/>
      </c>
      <c r="AC35" s="10">
        <f>IF(AND(OR(M35="Amex_BTA_Ghost", M35="Single_Use_Virtual_Card"), N35="N"), "FAIL", "PASS")</f>
        <v/>
      </c>
      <c r="AD35" s="10">
        <f>IF(OR(U35="N", V35&gt;14), "FAIL", "PASS")</f>
        <v/>
      </c>
      <c r="AE35" s="10">
        <f>IF(J35&gt;25, "FAIL", "PASS")</f>
        <v/>
      </c>
      <c r="AF35" s="10">
        <f>IF(COUNTIF(Y35:AE35, "FAIL")=0, "CLEAN", "FLAGGED")</f>
        <v/>
      </c>
    </row>
    <row r="36">
      <c r="A36" s="9" t="inlineStr">
        <is>
          <t>MTG-2026-10030</t>
        </is>
      </c>
      <c r="B36" s="9" t="inlineStr">
        <is>
          <t>Immunology_Inflammation</t>
        </is>
      </c>
      <c r="C36" s="9" t="inlineStr">
        <is>
          <t>Medical_Symposium</t>
        </is>
      </c>
      <c r="D36" s="9" t="inlineStr">
        <is>
          <t>CC-IMM-4102</t>
        </is>
      </c>
      <c r="E36" s="9" t="inlineStr">
        <is>
          <t>WBS-IMM-108-PH3</t>
        </is>
      </c>
      <c r="F36" s="9" t="inlineStr">
        <is>
          <t>JP</t>
        </is>
      </c>
      <c r="G36" s="9" t="inlineStr">
        <is>
          <t>2026-05-15</t>
        </is>
      </c>
      <c r="H36" s="9" t="inlineStr">
        <is>
          <t>2026-05-19</t>
        </is>
      </c>
      <c r="I36" s="9" t="n">
        <v>53</v>
      </c>
      <c r="J36" s="9" t="n">
        <v>1.84</v>
      </c>
      <c r="K36" s="9" t="n">
        <v>180656.56</v>
      </c>
      <c r="L36" s="9" t="n">
        <v>177400</v>
      </c>
      <c r="M36" s="9" t="inlineStr">
        <is>
          <t>Amex_BTA_Ghost</t>
        </is>
      </c>
      <c r="N36" s="9" t="inlineStr">
        <is>
          <t>Y</t>
        </is>
      </c>
      <c r="O36" s="9" t="n">
        <v>35</v>
      </c>
      <c r="P36" s="9" t="inlineStr">
        <is>
          <t>EFPIA-JP-195674;EFPIA-JP-592841;EFPIA-JP-464863;EFPIA-JP-528184;EFPIA-JP-449499;EFPIA-JP-436653;EFPIA-JP-802685;EFPIA-JP-209680;EFPIA-JP-999398;EFPIA-JP-268637;EFPIA-JP-445824;EFPIA-JP-531641;EFPIA-JP-827369;EFPIA-JP-619536;EFPIA-JP-402218;EFPIA-JP-794769;EFPIA-JP-519904;EFPIA-JP-953085;EFPIA-JP-897441;EFPIA-JP-676818;EFPIA-JP-138479;EFPIA-JP-576919;EFPIA-JP-192337;EFPIA-JP-429795;EFPIA-JP-364659;EFPIA-JP-438977;EFPIA-JP-221552;EFPIA-JP-910075;EFPIA-JP-523808;EFPIA-JP-639593;EFPIA-JP-964998;EFPIA-JP-101206;EFPIA-JP-789606;EFPIA-JP-668950;EFPIA-JP-584417</t>
        </is>
      </c>
      <c r="Q36" s="9" t="inlineStr">
        <is>
          <t>Y</t>
        </is>
      </c>
      <c r="R36" s="9" t="inlineStr">
        <is>
          <t>N</t>
        </is>
      </c>
      <c r="S36" s="9" t="inlineStr">
        <is>
          <t>CVT-296694</t>
        </is>
      </c>
      <c r="T36" s="9" t="inlineStr">
        <is>
          <t>EXP-2026-643623</t>
        </is>
      </c>
      <c r="U36" s="9" t="inlineStr">
        <is>
          <t>Y</t>
        </is>
      </c>
      <c r="V36" s="9" t="n">
        <v>9</v>
      </c>
      <c r="W36" s="9" t="inlineStr">
        <is>
          <t>Y</t>
        </is>
      </c>
      <c r="X36" s="9" t="inlineStr">
        <is>
          <t>Approved</t>
        </is>
      </c>
      <c r="Y36" s="10">
        <f>IF(OR(ISBLANK(A36), ISBLANK(D36), ISBLANK(E36)), "FAIL", "PASS")</f>
        <v/>
      </c>
      <c r="Z36" s="10">
        <f>IF(H36&lt;G36, "FAIL", "PASS")</f>
        <v/>
      </c>
      <c r="AA36" s="10">
        <f>IF(AND(O36&gt;0, S36=""), "FAIL", "PASS")</f>
        <v/>
      </c>
      <c r="AB36" s="10">
        <f>IF(AND(F36="US", O36&gt;0, P36=""), "FAIL", "PASS")</f>
        <v/>
      </c>
      <c r="AC36" s="10">
        <f>IF(AND(OR(M36="Amex_BTA_Ghost", M36="Single_Use_Virtual_Card"), N36="N"), "FAIL", "PASS")</f>
        <v/>
      </c>
      <c r="AD36" s="10">
        <f>IF(OR(U36="N", V36&gt;14), "FAIL", "PASS")</f>
        <v/>
      </c>
      <c r="AE36" s="10">
        <f>IF(J36&gt;25, "FAIL", "PASS")</f>
        <v/>
      </c>
      <c r="AF36" s="10">
        <f>IF(COUNTIF(Y36:AE36, "FAIL")=0, "CLEAN", "FLAGGED")</f>
        <v/>
      </c>
    </row>
    <row r="37">
      <c r="A37" s="9" t="inlineStr">
        <is>
          <t>MTG-2026-10031</t>
        </is>
      </c>
      <c r="B37" s="9" t="inlineStr">
        <is>
          <t>Immunology_Inflammation</t>
        </is>
      </c>
      <c r="C37" s="9" t="inlineStr">
        <is>
          <t>Advisory_Board</t>
        </is>
      </c>
      <c r="D37" s="9" t="inlineStr">
        <is>
          <t>CC-IMM-4102</t>
        </is>
      </c>
      <c r="E37" s="9" t="inlineStr">
        <is>
          <t>WBS-IMM-108-PH3</t>
        </is>
      </c>
      <c r="F37" s="9" t="inlineStr">
        <is>
          <t>DE</t>
        </is>
      </c>
      <c r="G37" s="9" t="inlineStr">
        <is>
          <t>2026-03-24</t>
        </is>
      </c>
      <c r="H37" s="9" t="inlineStr">
        <is>
          <t>2026-03-26</t>
        </is>
      </c>
      <c r="I37" s="9" t="n">
        <v>54</v>
      </c>
      <c r="J37" s="9" t="n">
        <v>-4.27</v>
      </c>
      <c r="K37" s="9" t="n">
        <v>98505.67</v>
      </c>
      <c r="L37" s="9" t="n">
        <v>102900</v>
      </c>
      <c r="M37" s="9" t="inlineStr">
        <is>
          <t>Corporate_T&amp;E_Card</t>
        </is>
      </c>
      <c r="N37" s="9" t="inlineStr">
        <is>
          <t>Y</t>
        </is>
      </c>
      <c r="O37" s="9" t="n">
        <v>5</v>
      </c>
      <c r="P37" s="9" t="inlineStr"/>
      <c r="Q37" s="9" t="inlineStr">
        <is>
          <t>Y</t>
        </is>
      </c>
      <c r="R37" s="9" t="inlineStr">
        <is>
          <t>Y</t>
        </is>
      </c>
      <c r="S37" s="9" t="inlineStr">
        <is>
          <t>CVT-677596</t>
        </is>
      </c>
      <c r="T37" s="9" t="inlineStr">
        <is>
          <t>EXP-2026-114338</t>
        </is>
      </c>
      <c r="U37" s="9" t="inlineStr">
        <is>
          <t>Y</t>
        </is>
      </c>
      <c r="V37" s="9" t="n">
        <v>3</v>
      </c>
      <c r="W37" s="9" t="inlineStr">
        <is>
          <t>Y</t>
        </is>
      </c>
      <c r="X37" s="9" t="inlineStr">
        <is>
          <t>Approved</t>
        </is>
      </c>
      <c r="Y37" s="10">
        <f>IF(OR(ISBLANK(A37), ISBLANK(D37), ISBLANK(E37)), "FAIL", "PASS")</f>
        <v/>
      </c>
      <c r="Z37" s="10">
        <f>IF(H37&lt;G37, "FAIL", "PASS")</f>
        <v/>
      </c>
      <c r="AA37" s="10">
        <f>IF(AND(O37&gt;0, S37=""), "FAIL", "PASS")</f>
        <v/>
      </c>
      <c r="AB37" s="10">
        <f>IF(AND(F37="US", O37&gt;0, P37=""), "FAIL", "PASS")</f>
        <v/>
      </c>
      <c r="AC37" s="10">
        <f>IF(AND(OR(M37="Amex_BTA_Ghost", M37="Single_Use_Virtual_Card"), N37="N"), "FAIL", "PASS")</f>
        <v/>
      </c>
      <c r="AD37" s="10">
        <f>IF(OR(U37="N", V37&gt;14), "FAIL", "PASS")</f>
        <v/>
      </c>
      <c r="AE37" s="10">
        <f>IF(J37&gt;25, "FAIL", "PASS")</f>
        <v/>
      </c>
      <c r="AF37" s="10">
        <f>IF(COUNTIF(Y37:AE37, "FAIL")=0, "CLEAN", "FLAGGED")</f>
        <v/>
      </c>
    </row>
    <row r="38">
      <c r="A38" s="9" t="inlineStr">
        <is>
          <t>MTG-2026-10032</t>
        </is>
      </c>
      <c r="B38" s="9" t="inlineStr">
        <is>
          <t>Immunology_Inflammation</t>
        </is>
      </c>
      <c r="C38" s="9" t="inlineStr">
        <is>
          <t>Medical_Symposium</t>
        </is>
      </c>
      <c r="D38" s="9" t="inlineStr">
        <is>
          <t>CC-IMM-4102</t>
        </is>
      </c>
      <c r="E38" s="9" t="inlineStr">
        <is>
          <t>WBS-IMM-108-PH3</t>
        </is>
      </c>
      <c r="F38" s="9" t="inlineStr">
        <is>
          <t>FR</t>
        </is>
      </c>
      <c r="G38" s="9" t="inlineStr">
        <is>
          <t>2026-05-22</t>
        </is>
      </c>
      <c r="H38" s="9" t="inlineStr">
        <is>
          <t>2026-05-25</t>
        </is>
      </c>
      <c r="I38" s="9" t="n">
        <v>83</v>
      </c>
      <c r="J38" s="9" t="n">
        <v>17.02</v>
      </c>
      <c r="K38" s="9" t="n">
        <v>152471.06</v>
      </c>
      <c r="L38" s="9" t="n">
        <v>130300</v>
      </c>
      <c r="M38" s="9" t="inlineStr">
        <is>
          <t>Amex_BTA_Ghost</t>
        </is>
      </c>
      <c r="N38" s="9" t="inlineStr">
        <is>
          <t>Y</t>
        </is>
      </c>
      <c r="O38" s="9" t="n">
        <v>34</v>
      </c>
      <c r="P38" s="9" t="inlineStr">
        <is>
          <t>EFPIA-FR-355570;EFPIA-FR-578975;EFPIA-FR-678043;EFPIA-FR-251668;EFPIA-FR-502219;EFPIA-FR-299869;EFPIA-FR-728492;EFPIA-FR-632929;EFPIA-FR-882544;EFPIA-FR-243139;EFPIA-FR-173201;EFPIA-FR-389666;EFPIA-FR-910208;EFPIA-FR-928381;EFPIA-FR-995916;EFPIA-FR-535098;EFPIA-FR-456385;EFPIA-FR-925981;EFPIA-FR-632401;EFPIA-FR-380150;EFPIA-FR-960408;EFPIA-FR-102689;EFPIA-FR-396578;EFPIA-FR-861319;EFPIA-FR-413058;EFPIA-FR-978157;EFPIA-FR-715448;EFPIA-FR-708093;EFPIA-FR-791998;EFPIA-FR-613425;EFPIA-FR-255813;EFPIA-FR-568238;EFPIA-FR-664742;EFPIA-FR-607868</t>
        </is>
      </c>
      <c r="Q38" s="9" t="inlineStr">
        <is>
          <t>Y</t>
        </is>
      </c>
      <c r="R38" s="9" t="inlineStr">
        <is>
          <t>N</t>
        </is>
      </c>
      <c r="S38" s="9" t="inlineStr">
        <is>
          <t>CVT-678727</t>
        </is>
      </c>
      <c r="T38" s="9" t="inlineStr">
        <is>
          <t>EXP-2026-899929</t>
        </is>
      </c>
      <c r="U38" s="9" t="inlineStr">
        <is>
          <t>Y</t>
        </is>
      </c>
      <c r="V38" s="9" t="n">
        <v>9</v>
      </c>
      <c r="W38" s="9" t="inlineStr">
        <is>
          <t>Y</t>
        </is>
      </c>
      <c r="X38" s="9" t="inlineStr">
        <is>
          <t>Approved</t>
        </is>
      </c>
      <c r="Y38" s="10">
        <f>IF(OR(ISBLANK(A38), ISBLANK(D38), ISBLANK(E38)), "FAIL", "PASS")</f>
        <v/>
      </c>
      <c r="Z38" s="10">
        <f>IF(H38&lt;G38, "FAIL", "PASS")</f>
        <v/>
      </c>
      <c r="AA38" s="10">
        <f>IF(AND(O38&gt;0, S38=""), "FAIL", "PASS")</f>
        <v/>
      </c>
      <c r="AB38" s="10">
        <f>IF(AND(F38="US", O38&gt;0, P38=""), "FAIL", "PASS")</f>
        <v/>
      </c>
      <c r="AC38" s="10">
        <f>IF(AND(OR(M38="Amex_BTA_Ghost", M38="Single_Use_Virtual_Card"), N38="N"), "FAIL", "PASS")</f>
        <v/>
      </c>
      <c r="AD38" s="10">
        <f>IF(OR(U38="N", V38&gt;14), "FAIL", "PASS")</f>
        <v/>
      </c>
      <c r="AE38" s="10">
        <f>IF(J38&gt;25, "FAIL", "PASS")</f>
        <v/>
      </c>
      <c r="AF38" s="10">
        <f>IF(COUNTIF(Y38:AE38, "FAIL")=0, "CLEAN", "FLAGGED")</f>
        <v/>
      </c>
    </row>
    <row r="39">
      <c r="A39" s="9" t="inlineStr">
        <is>
          <t>MTG-2026-10033</t>
        </is>
      </c>
      <c r="B39" s="9" t="inlineStr">
        <is>
          <t>Immunology_Inflammation</t>
        </is>
      </c>
      <c r="C39" s="9" t="inlineStr">
        <is>
          <t>Medical_Symposium</t>
        </is>
      </c>
      <c r="D39" s="9" t="inlineStr">
        <is>
          <t>CC-IMM-4102</t>
        </is>
      </c>
      <c r="E39" s="9" t="inlineStr">
        <is>
          <t>WBS-IMM-108-PH3</t>
        </is>
      </c>
      <c r="F39" s="9" t="inlineStr">
        <is>
          <t>US</t>
        </is>
      </c>
      <c r="G39" s="9" t="inlineStr">
        <is>
          <t>2026-06-10</t>
        </is>
      </c>
      <c r="H39" s="9" t="inlineStr">
        <is>
          <t>2026-06-14</t>
        </is>
      </c>
      <c r="I39" s="9" t="n">
        <v>47</v>
      </c>
      <c r="J39" s="9" t="n">
        <v>5.72</v>
      </c>
      <c r="K39" s="9" t="n">
        <v>120629.71</v>
      </c>
      <c r="L39" s="9" t="n">
        <v>114100</v>
      </c>
      <c r="M39" s="9" t="inlineStr">
        <is>
          <t>Single_Use_Virtual_Card</t>
        </is>
      </c>
      <c r="N39" s="9" t="inlineStr">
        <is>
          <t>Y</t>
        </is>
      </c>
      <c r="O39" s="9" t="n">
        <v>34</v>
      </c>
      <c r="P39" s="9" t="inlineStr">
        <is>
          <t>1857232668;1971243675;1509343829;1514548900;1812630453;1950826208;1981270974;1800100071;1263321843;1631855083;1139749508;1235555899;1639331014;1733701411;1456476596;1207765664;1572775194;1207064620;1664735673;1590622789;1116479358;1875718152;1254785699;1540211187;1803066091;1265744099;1180346223;1604111692;1939156387;1384566044;1463527356;1769219685;1843785903;1526794469</t>
        </is>
      </c>
      <c r="Q39" s="9" t="inlineStr">
        <is>
          <t>Y</t>
        </is>
      </c>
      <c r="R39" s="9" t="inlineStr">
        <is>
          <t>N</t>
        </is>
      </c>
      <c r="S39" s="9" t="inlineStr">
        <is>
          <t>CVT-993140</t>
        </is>
      </c>
      <c r="T39" s="9" t="inlineStr">
        <is>
          <t>EXP-2026-444525</t>
        </is>
      </c>
      <c r="U39" s="9" t="inlineStr">
        <is>
          <t>Y</t>
        </is>
      </c>
      <c r="V39" s="9" t="n">
        <v>10</v>
      </c>
      <c r="W39" s="9" t="inlineStr">
        <is>
          <t>Y</t>
        </is>
      </c>
      <c r="X39" s="9" t="inlineStr">
        <is>
          <t>Approved</t>
        </is>
      </c>
      <c r="Y39" s="10">
        <f>IF(OR(ISBLANK(A39), ISBLANK(D39), ISBLANK(E39)), "FAIL", "PASS")</f>
        <v/>
      </c>
      <c r="Z39" s="10">
        <f>IF(H39&lt;G39, "FAIL", "PASS")</f>
        <v/>
      </c>
      <c r="AA39" s="10">
        <f>IF(AND(O39&gt;0, S39=""), "FAIL", "PASS")</f>
        <v/>
      </c>
      <c r="AB39" s="10">
        <f>IF(AND(F39="US", O39&gt;0, P39=""), "FAIL", "PASS")</f>
        <v/>
      </c>
      <c r="AC39" s="10">
        <f>IF(AND(OR(M39="Amex_BTA_Ghost", M39="Single_Use_Virtual_Card"), N39="N"), "FAIL", "PASS")</f>
        <v/>
      </c>
      <c r="AD39" s="10">
        <f>IF(OR(U39="N", V39&gt;14), "FAIL", "PASS")</f>
        <v/>
      </c>
      <c r="AE39" s="10">
        <f>IF(J39&gt;25, "FAIL", "PASS")</f>
        <v/>
      </c>
      <c r="AF39" s="10">
        <f>IF(COUNTIF(Y39:AE39, "FAIL")=0, "CLEAN", "FLAGGED")</f>
        <v/>
      </c>
    </row>
    <row r="40">
      <c r="A40" s="9" t="inlineStr">
        <is>
          <t>MTG-2026-10034</t>
        </is>
      </c>
      <c r="B40" s="9" t="inlineStr">
        <is>
          <t>Vaccines_Infectious</t>
        </is>
      </c>
      <c r="C40" s="9" t="inlineStr">
        <is>
          <t>Advisory_Board</t>
        </is>
      </c>
      <c r="D40" s="9" t="inlineStr">
        <is>
          <t>CC-VAC-6311</t>
        </is>
      </c>
      <c r="E40" s="9" t="inlineStr">
        <is>
          <t>WBS-VAC-205-GLB</t>
        </is>
      </c>
      <c r="F40" s="9" t="inlineStr">
        <is>
          <t>US</t>
        </is>
      </c>
      <c r="G40" s="9" t="inlineStr">
        <is>
          <t>2026-08-26</t>
        </is>
      </c>
      <c r="H40" s="9" t="inlineStr">
        <is>
          <t>2026-08-27</t>
        </is>
      </c>
      <c r="I40" s="9" t="n">
        <v>26</v>
      </c>
      <c r="J40" s="9" t="n">
        <v>-11.23</v>
      </c>
      <c r="K40" s="9" t="n">
        <v>46605.81</v>
      </c>
      <c r="L40" s="9" t="n">
        <v>52500</v>
      </c>
      <c r="M40" s="9" t="inlineStr">
        <is>
          <t>Amex_BTA_Ghost</t>
        </is>
      </c>
      <c r="N40" s="9" t="inlineStr">
        <is>
          <t>Y</t>
        </is>
      </c>
      <c r="O40" s="9" t="n">
        <v>18</v>
      </c>
      <c r="P40" s="9" t="inlineStr">
        <is>
          <t>1901834280;1197044071;1565973314;1205702499;1916440738;1780481547;1855797020;1207918827;1576396216;1278632824;1845178074;1421549249;1131081879;1149382425;1448294647;1954852540;1160257560;1415001254</t>
        </is>
      </c>
      <c r="Q40" s="9" t="inlineStr">
        <is>
          <t>Y</t>
        </is>
      </c>
      <c r="R40" s="9" t="inlineStr">
        <is>
          <t>N</t>
        </is>
      </c>
      <c r="S40" s="9" t="inlineStr">
        <is>
          <t>CVT-551607</t>
        </is>
      </c>
      <c r="T40" s="9" t="inlineStr">
        <is>
          <t>EXP-2026-252640</t>
        </is>
      </c>
      <c r="U40" s="9" t="inlineStr">
        <is>
          <t>Y</t>
        </is>
      </c>
      <c r="V40" s="9" t="n">
        <v>8</v>
      </c>
      <c r="W40" s="9" t="inlineStr">
        <is>
          <t>Y</t>
        </is>
      </c>
      <c r="X40" s="9" t="inlineStr">
        <is>
          <t>Approved</t>
        </is>
      </c>
      <c r="Y40" s="10">
        <f>IF(OR(ISBLANK(A40), ISBLANK(D40), ISBLANK(E40)), "FAIL", "PASS")</f>
        <v/>
      </c>
      <c r="Z40" s="10">
        <f>IF(H40&lt;G40, "FAIL", "PASS")</f>
        <v/>
      </c>
      <c r="AA40" s="10">
        <f>IF(AND(O40&gt;0, S40=""), "FAIL", "PASS")</f>
        <v/>
      </c>
      <c r="AB40" s="10">
        <f>IF(AND(F40="US", O40&gt;0, P40=""), "FAIL", "PASS")</f>
        <v/>
      </c>
      <c r="AC40" s="10">
        <f>IF(AND(OR(M40="Amex_BTA_Ghost", M40="Single_Use_Virtual_Card"), N40="N"), "FAIL", "PASS")</f>
        <v/>
      </c>
      <c r="AD40" s="10">
        <f>IF(OR(U40="N", V40&gt;14), "FAIL", "PASS")</f>
        <v/>
      </c>
      <c r="AE40" s="10">
        <f>IF(J40&gt;25, "FAIL", "PASS")</f>
        <v/>
      </c>
      <c r="AF40" s="10">
        <f>IF(COUNTIF(Y40:AE40, "FAIL")=0, "CLEAN", "FLAGGED")</f>
        <v/>
      </c>
    </row>
    <row r="41">
      <c r="A41" s="9" t="inlineStr">
        <is>
          <t>MTG-2026-10035</t>
        </is>
      </c>
      <c r="B41" s="9" t="inlineStr">
        <is>
          <t>Immunology_Inflammation</t>
        </is>
      </c>
      <c r="C41" s="9" t="inlineStr">
        <is>
          <t>Investigator_Meeting</t>
        </is>
      </c>
      <c r="D41" s="9" t="inlineStr">
        <is>
          <t>CC-IMM-4102</t>
        </is>
      </c>
      <c r="E41" s="9" t="inlineStr">
        <is>
          <t>WBS-IMM-108-PH3</t>
        </is>
      </c>
      <c r="F41" s="9" t="inlineStr">
        <is>
          <t>GB</t>
        </is>
      </c>
      <c r="G41" s="9" t="inlineStr">
        <is>
          <t>2026-02-28</t>
        </is>
      </c>
      <c r="H41" s="9" t="inlineStr">
        <is>
          <t>2026-03-01</t>
        </is>
      </c>
      <c r="I41" s="9" t="n">
        <v>66</v>
      </c>
      <c r="J41" s="9" t="n">
        <v>-6.57</v>
      </c>
      <c r="K41" s="9" t="n">
        <v>160417.21</v>
      </c>
      <c r="L41" s="9" t="n">
        <v>171700</v>
      </c>
      <c r="M41" s="9" t="inlineStr">
        <is>
          <t>Direct_Invoice_PO</t>
        </is>
      </c>
      <c r="N41" s="9" t="inlineStr">
        <is>
          <t>Pending</t>
        </is>
      </c>
      <c r="O41" s="9" t="n">
        <v>13</v>
      </c>
      <c r="P41" s="9" t="inlineStr">
        <is>
          <t>EFPIA-GB-343467;EFPIA-GB-583550;EFPIA-GB-768891;EFPIA-GB-366314;EFPIA-GB-581894;EFPIA-GB-367729;EFPIA-GB-799233;EFPIA-GB-109853;EFPIA-GB-943718;EFPIA-GB-587853;EFPIA-GB-401603;EFPIA-GB-810526;EFPIA-GB-673149</t>
        </is>
      </c>
      <c r="Q41" s="9" t="inlineStr">
        <is>
          <t>Y</t>
        </is>
      </c>
      <c r="R41" s="9" t="inlineStr">
        <is>
          <t>Y</t>
        </is>
      </c>
      <c r="S41" s="9" t="inlineStr">
        <is>
          <t>CVT-563187</t>
        </is>
      </c>
      <c r="T41" s="9" t="inlineStr">
        <is>
          <t>EXP-2026-462351</t>
        </is>
      </c>
      <c r="U41" s="9" t="inlineStr">
        <is>
          <t>Y</t>
        </is>
      </c>
      <c r="V41" s="9" t="n">
        <v>6</v>
      </c>
      <c r="W41" s="9" t="inlineStr">
        <is>
          <t>Y</t>
        </is>
      </c>
      <c r="X41" s="9" t="inlineStr">
        <is>
          <t>Approved</t>
        </is>
      </c>
      <c r="Y41" s="10">
        <f>IF(OR(ISBLANK(A41), ISBLANK(D41), ISBLANK(E41)), "FAIL", "PASS")</f>
        <v/>
      </c>
      <c r="Z41" s="10">
        <f>IF(H41&lt;G41, "FAIL", "PASS")</f>
        <v/>
      </c>
      <c r="AA41" s="10">
        <f>IF(AND(O41&gt;0, S41=""), "FAIL", "PASS")</f>
        <v/>
      </c>
      <c r="AB41" s="10">
        <f>IF(AND(F41="US", O41&gt;0, P41=""), "FAIL", "PASS")</f>
        <v/>
      </c>
      <c r="AC41" s="10">
        <f>IF(AND(OR(M41="Amex_BTA_Ghost", M41="Single_Use_Virtual_Card"), N41="N"), "FAIL", "PASS")</f>
        <v/>
      </c>
      <c r="AD41" s="10">
        <f>IF(OR(U41="N", V41&gt;14), "FAIL", "PASS")</f>
        <v/>
      </c>
      <c r="AE41" s="10">
        <f>IF(J41&gt;25, "FAIL", "PASS")</f>
        <v/>
      </c>
      <c r="AF41" s="10">
        <f>IF(COUNTIF(Y41:AE41, "FAIL")=0, "CLEAN", "FLAGGED")</f>
        <v/>
      </c>
    </row>
    <row r="42">
      <c r="A42" s="9" t="inlineStr">
        <is>
          <t>MTG-2026-10036</t>
        </is>
      </c>
      <c r="B42" s="9" t="inlineStr">
        <is>
          <t>Rare_Disease</t>
        </is>
      </c>
      <c r="C42" s="9" t="inlineStr">
        <is>
          <t>Advisory_Board</t>
        </is>
      </c>
      <c r="D42" s="9" t="inlineStr">
        <is>
          <t>CC-RD-9014</t>
        </is>
      </c>
      <c r="E42" s="9" t="inlineStr">
        <is>
          <t>WBS-RD-401-REG</t>
        </is>
      </c>
      <c r="F42" s="9" t="inlineStr">
        <is>
          <t>US</t>
        </is>
      </c>
      <c r="G42" s="9" t="inlineStr">
        <is>
          <t>2026-05-11</t>
        </is>
      </c>
      <c r="H42" s="9" t="inlineStr">
        <is>
          <t>2026-05-14</t>
        </is>
      </c>
      <c r="I42" s="9" t="n">
        <v>43</v>
      </c>
      <c r="J42" s="9" t="n">
        <v>-1.03</v>
      </c>
      <c r="K42" s="9" t="n">
        <v>90164.99000000001</v>
      </c>
      <c r="L42" s="9" t="n">
        <v>91100</v>
      </c>
      <c r="M42" s="9" t="inlineStr">
        <is>
          <t>Corporate_T&amp;E_Card</t>
        </is>
      </c>
      <c r="N42" s="9" t="inlineStr">
        <is>
          <t>Y</t>
        </is>
      </c>
      <c r="O42" s="9" t="n">
        <v>28</v>
      </c>
      <c r="P42" s="9" t="inlineStr">
        <is>
          <t>1714097318;1485429460;1717199615;1417690559;1850845198;1417001612;1123557463;1991246046;1806768884;1524993183;1394721069;1108695125;1707661655;1836371599;1935705734;1899582079;1152660856;1751124015;1900122509;1633356861;1994253959;1407298630;1932945529;1957769526;1347087743;1751831074;1961067882;1478301747</t>
        </is>
      </c>
      <c r="Q42" s="9" t="inlineStr">
        <is>
          <t>Y</t>
        </is>
      </c>
      <c r="R42" s="9" t="inlineStr">
        <is>
          <t>Y</t>
        </is>
      </c>
      <c r="S42" s="9" t="inlineStr">
        <is>
          <t>CVT-299367</t>
        </is>
      </c>
      <c r="T42" s="9" t="inlineStr">
        <is>
          <t>EXP-2026-751051</t>
        </is>
      </c>
      <c r="U42" s="9" t="inlineStr">
        <is>
          <t>Y</t>
        </is>
      </c>
      <c r="V42" s="9" t="n">
        <v>4</v>
      </c>
      <c r="W42" s="9" t="inlineStr">
        <is>
          <t>Y</t>
        </is>
      </c>
      <c r="X42" s="9" t="inlineStr">
        <is>
          <t>Approved</t>
        </is>
      </c>
      <c r="Y42" s="10">
        <f>IF(OR(ISBLANK(A42), ISBLANK(D42), ISBLANK(E42)), "FAIL", "PASS")</f>
        <v/>
      </c>
      <c r="Z42" s="10">
        <f>IF(H42&lt;G42, "FAIL", "PASS")</f>
        <v/>
      </c>
      <c r="AA42" s="10">
        <f>IF(AND(O42&gt;0, S42=""), "FAIL", "PASS")</f>
        <v/>
      </c>
      <c r="AB42" s="10">
        <f>IF(AND(F42="US", O42&gt;0, P42=""), "FAIL", "PASS")</f>
        <v/>
      </c>
      <c r="AC42" s="10">
        <f>IF(AND(OR(M42="Amex_BTA_Ghost", M42="Single_Use_Virtual_Card"), N42="N"), "FAIL", "PASS")</f>
        <v/>
      </c>
      <c r="AD42" s="10">
        <f>IF(OR(U42="N", V42&gt;14), "FAIL", "PASS")</f>
        <v/>
      </c>
      <c r="AE42" s="10">
        <f>IF(J42&gt;25, "FAIL", "PASS")</f>
        <v/>
      </c>
      <c r="AF42" s="10">
        <f>IF(COUNTIF(Y42:AE42, "FAIL")=0, "CLEAN", "FLAGGED")</f>
        <v/>
      </c>
    </row>
    <row r="43">
      <c r="A43" s="9" t="inlineStr">
        <is>
          <t>MTG-2026-10037</t>
        </is>
      </c>
      <c r="B43" s="9" t="inlineStr">
        <is>
          <t>Oncology</t>
        </is>
      </c>
      <c r="C43" s="9" t="inlineStr">
        <is>
          <t>Advisory_Board</t>
        </is>
      </c>
      <c r="D43" s="9" t="inlineStr">
        <is>
          <t>CC-ONC-8821</t>
        </is>
      </c>
      <c r="E43" s="9" t="inlineStr">
        <is>
          <t>WBS-ONC-302-CLIN</t>
        </is>
      </c>
      <c r="F43" s="9" t="inlineStr">
        <is>
          <t>US</t>
        </is>
      </c>
      <c r="G43" s="9" t="inlineStr">
        <is>
          <t>2026-04-04</t>
        </is>
      </c>
      <c r="H43" s="9" t="inlineStr">
        <is>
          <t>2026-04-08</t>
        </is>
      </c>
      <c r="I43" s="9" t="n">
        <v>22</v>
      </c>
      <c r="J43" s="9" t="n">
        <v>5.19</v>
      </c>
      <c r="K43" s="9" t="n">
        <v>81520.59</v>
      </c>
      <c r="L43" s="9" t="n">
        <v>77500</v>
      </c>
      <c r="M43" s="9" t="inlineStr">
        <is>
          <t>Single_Use_Virtual_Card</t>
        </is>
      </c>
      <c r="N43" s="9" t="inlineStr">
        <is>
          <t>Y</t>
        </is>
      </c>
      <c r="O43" s="9" t="n">
        <v>22</v>
      </c>
      <c r="P43" s="9" t="inlineStr">
        <is>
          <t>1450811990;1902601465;1546143048;1288592093;1315601773;1241905500;1944511703;1679184667;1492836532;1669998399;1638798023;1392624015;1991713190;1276678230;1375919523;1985503942;1617380166;1965960427;1416905717;1901611993;1463692735;1963538119</t>
        </is>
      </c>
      <c r="Q43" s="9" t="inlineStr">
        <is>
          <t>Y</t>
        </is>
      </c>
      <c r="R43" s="9" t="inlineStr">
        <is>
          <t>Y</t>
        </is>
      </c>
      <c r="S43" s="9" t="inlineStr">
        <is>
          <t>CVT-178957</t>
        </is>
      </c>
      <c r="T43" s="9" t="inlineStr">
        <is>
          <t>EXP-2026-247594</t>
        </is>
      </c>
      <c r="U43" s="9" t="inlineStr">
        <is>
          <t>Y</t>
        </is>
      </c>
      <c r="V43" s="9" t="n">
        <v>5</v>
      </c>
      <c r="W43" s="9" t="inlineStr">
        <is>
          <t>Y</t>
        </is>
      </c>
      <c r="X43" s="9" t="inlineStr">
        <is>
          <t>Approved</t>
        </is>
      </c>
      <c r="Y43" s="10">
        <f>IF(OR(ISBLANK(A43), ISBLANK(D43), ISBLANK(E43)), "FAIL", "PASS")</f>
        <v/>
      </c>
      <c r="Z43" s="10">
        <f>IF(H43&lt;G43, "FAIL", "PASS")</f>
        <v/>
      </c>
      <c r="AA43" s="10">
        <f>IF(AND(O43&gt;0, S43=""), "FAIL", "PASS")</f>
        <v/>
      </c>
      <c r="AB43" s="10">
        <f>IF(AND(F43="US", O43&gt;0, P43=""), "FAIL", "PASS")</f>
        <v/>
      </c>
      <c r="AC43" s="10">
        <f>IF(AND(OR(M43="Amex_BTA_Ghost", M43="Single_Use_Virtual_Card"), N43="N"), "FAIL", "PASS")</f>
        <v/>
      </c>
      <c r="AD43" s="10">
        <f>IF(OR(U43="N", V43&gt;14), "FAIL", "PASS")</f>
        <v/>
      </c>
      <c r="AE43" s="10">
        <f>IF(J43&gt;25, "FAIL", "PASS")</f>
        <v/>
      </c>
      <c r="AF43" s="10">
        <f>IF(COUNTIF(Y43:AE43, "FAIL")=0, "CLEAN", "FLAGGED")</f>
        <v/>
      </c>
    </row>
    <row r="44">
      <c r="A44" s="9" t="inlineStr">
        <is>
          <t>MTG-2026-10038</t>
        </is>
      </c>
      <c r="B44" s="9" t="inlineStr">
        <is>
          <t>Vaccines_Infectious</t>
        </is>
      </c>
      <c r="C44" s="9" t="inlineStr">
        <is>
          <t>Advisory_Board</t>
        </is>
      </c>
      <c r="D44" s="9" t="inlineStr">
        <is>
          <t>CC-VAC-6311</t>
        </is>
      </c>
      <c r="E44" s="9" t="inlineStr">
        <is>
          <t>WBS-VAC-205-GLB</t>
        </is>
      </c>
      <c r="F44" s="9" t="inlineStr">
        <is>
          <t>JP</t>
        </is>
      </c>
      <c r="G44" s="9" t="inlineStr">
        <is>
          <t>2026-09-19</t>
        </is>
      </c>
      <c r="H44" s="9" t="inlineStr">
        <is>
          <t>2026-09-22</t>
        </is>
      </c>
      <c r="I44" s="9" t="n">
        <v>29</v>
      </c>
      <c r="J44" s="9" t="n">
        <v>5.86</v>
      </c>
      <c r="K44" s="9" t="n">
        <v>76110.64999999999</v>
      </c>
      <c r="L44" s="9" t="n">
        <v>71900</v>
      </c>
      <c r="M44" s="9" t="inlineStr">
        <is>
          <t>Corporate_T&amp;E_Card</t>
        </is>
      </c>
      <c r="N44" s="9" t="inlineStr">
        <is>
          <t>Y</t>
        </is>
      </c>
      <c r="O44" s="9" t="n">
        <v>11</v>
      </c>
      <c r="P44" s="9" t="inlineStr">
        <is>
          <t>EFPIA-JP-576877;EFPIA-JP-486490;EFPIA-JP-805511;EFPIA-JP-885395;EFPIA-JP-805000;EFPIA-JP-374896;EFPIA-JP-712955;EFPIA-JP-499534;EFPIA-JP-962367;EFPIA-JP-769567;EFPIA-JP-489518</t>
        </is>
      </c>
      <c r="Q44" s="9" t="inlineStr">
        <is>
          <t>Y</t>
        </is>
      </c>
      <c r="R44" s="9" t="inlineStr">
        <is>
          <t>Y</t>
        </is>
      </c>
      <c r="S44" s="9" t="inlineStr">
        <is>
          <t>CVT-345180</t>
        </is>
      </c>
      <c r="T44" s="9" t="inlineStr">
        <is>
          <t>EXP-2026-594379</t>
        </is>
      </c>
      <c r="U44" s="9" t="inlineStr">
        <is>
          <t>Y</t>
        </is>
      </c>
      <c r="V44" s="9" t="n">
        <v>10</v>
      </c>
      <c r="W44" s="9" t="inlineStr">
        <is>
          <t>Y</t>
        </is>
      </c>
      <c r="X44" s="9" t="inlineStr">
        <is>
          <t>Approved</t>
        </is>
      </c>
      <c r="Y44" s="10">
        <f>IF(OR(ISBLANK(A44), ISBLANK(D44), ISBLANK(E44)), "FAIL", "PASS")</f>
        <v/>
      </c>
      <c r="Z44" s="10">
        <f>IF(H44&lt;G44, "FAIL", "PASS")</f>
        <v/>
      </c>
      <c r="AA44" s="10">
        <f>IF(AND(O44&gt;0, S44=""), "FAIL", "PASS")</f>
        <v/>
      </c>
      <c r="AB44" s="10">
        <f>IF(AND(F44="US", O44&gt;0, P44=""), "FAIL", "PASS")</f>
        <v/>
      </c>
      <c r="AC44" s="10">
        <f>IF(AND(OR(M44="Amex_BTA_Ghost", M44="Single_Use_Virtual_Card"), N44="N"), "FAIL", "PASS")</f>
        <v/>
      </c>
      <c r="AD44" s="10">
        <f>IF(OR(U44="N", V44&gt;14), "FAIL", "PASS")</f>
        <v/>
      </c>
      <c r="AE44" s="10">
        <f>IF(J44&gt;25, "FAIL", "PASS")</f>
        <v/>
      </c>
      <c r="AF44" s="10">
        <f>IF(COUNTIF(Y44:AE44, "FAIL")=0, "CLEAN", "FLAGGED")</f>
        <v/>
      </c>
    </row>
    <row r="45">
      <c r="A45" s="9" t="inlineStr">
        <is>
          <t>MTG-2026-10039</t>
        </is>
      </c>
      <c r="B45" s="9" t="inlineStr">
        <is>
          <t>Vaccines_Infectious</t>
        </is>
      </c>
      <c r="C45" s="9" t="inlineStr">
        <is>
          <t>Medical_Symposium</t>
        </is>
      </c>
      <c r="D45" s="9" t="inlineStr">
        <is>
          <t>CC-VAC-6311</t>
        </is>
      </c>
      <c r="E45" s="9" t="inlineStr">
        <is>
          <t>WBS-VAC-205-GLB</t>
        </is>
      </c>
      <c r="F45" s="9" t="inlineStr">
        <is>
          <t>JP</t>
        </is>
      </c>
      <c r="G45" s="9" t="inlineStr">
        <is>
          <t>2026-09-04</t>
        </is>
      </c>
      <c r="H45" s="9" t="inlineStr">
        <is>
          <t>2026-09-07</t>
        </is>
      </c>
      <c r="I45" s="9" t="n">
        <v>70</v>
      </c>
      <c r="J45" s="9" t="n">
        <v>16.89</v>
      </c>
      <c r="K45" s="9" t="n">
        <v>226763.09</v>
      </c>
      <c r="L45" s="9" t="n">
        <v>194000</v>
      </c>
      <c r="M45" s="9" t="inlineStr">
        <is>
          <t>Corporate_T&amp;E_Card</t>
        </is>
      </c>
      <c r="N45" s="9" t="inlineStr">
        <is>
          <t>Y</t>
        </is>
      </c>
      <c r="O45" s="9" t="n">
        <v>23</v>
      </c>
      <c r="P45" s="9" t="inlineStr">
        <is>
          <t>EFPIA-JP-616554;EFPIA-JP-221761;EFPIA-JP-201913;EFPIA-JP-346205;EFPIA-JP-663658;EFPIA-JP-242254;EFPIA-JP-507524;EFPIA-JP-575679;EFPIA-JP-489033;EFPIA-JP-803055;EFPIA-JP-879238;EFPIA-JP-830316;EFPIA-JP-666432;EFPIA-JP-539486;EFPIA-JP-715870;EFPIA-JP-878325;EFPIA-JP-861894;EFPIA-JP-262029;EFPIA-JP-535037;EFPIA-JP-786735;EFPIA-JP-203831;EFPIA-JP-974190;EFPIA-JP-613117</t>
        </is>
      </c>
      <c r="Q45" s="9" t="inlineStr">
        <is>
          <t>Y</t>
        </is>
      </c>
      <c r="R45" s="9" t="inlineStr">
        <is>
          <t>N</t>
        </is>
      </c>
      <c r="S45" s="9" t="inlineStr">
        <is>
          <t>CVT-393328</t>
        </is>
      </c>
      <c r="T45" s="9" t="inlineStr">
        <is>
          <t>EXP-2026-134305</t>
        </is>
      </c>
      <c r="U45" s="9" t="inlineStr">
        <is>
          <t>Y</t>
        </is>
      </c>
      <c r="V45" s="9" t="n">
        <v>5</v>
      </c>
      <c r="W45" s="9" t="inlineStr">
        <is>
          <t>Y</t>
        </is>
      </c>
      <c r="X45" s="9" t="inlineStr">
        <is>
          <t>Approved</t>
        </is>
      </c>
      <c r="Y45" s="10">
        <f>IF(OR(ISBLANK(A45), ISBLANK(D45), ISBLANK(E45)), "FAIL", "PASS")</f>
        <v/>
      </c>
      <c r="Z45" s="10">
        <f>IF(H45&lt;G45, "FAIL", "PASS")</f>
        <v/>
      </c>
      <c r="AA45" s="10">
        <f>IF(AND(O45&gt;0, S45=""), "FAIL", "PASS")</f>
        <v/>
      </c>
      <c r="AB45" s="10">
        <f>IF(AND(F45="US", O45&gt;0, P45=""), "FAIL", "PASS")</f>
        <v/>
      </c>
      <c r="AC45" s="10">
        <f>IF(AND(OR(M45="Amex_BTA_Ghost", M45="Single_Use_Virtual_Card"), N45="N"), "FAIL", "PASS")</f>
        <v/>
      </c>
      <c r="AD45" s="10">
        <f>IF(OR(U45="N", V45&gt;14), "FAIL", "PASS")</f>
        <v/>
      </c>
      <c r="AE45" s="10">
        <f>IF(J45&gt;25, "FAIL", "PASS")</f>
        <v/>
      </c>
      <c r="AF45" s="10">
        <f>IF(COUNTIF(Y45:AE45, "FAIL")=0, "CLEAN", "FLAGGED")</f>
        <v/>
      </c>
    </row>
    <row r="46">
      <c r="A46" s="9" t="inlineStr">
        <is>
          <t>MTG-2026-10040</t>
        </is>
      </c>
      <c r="B46" s="9" t="inlineStr">
        <is>
          <t>Oncology</t>
        </is>
      </c>
      <c r="C46" s="9" t="inlineStr">
        <is>
          <t>Advisory_Board</t>
        </is>
      </c>
      <c r="D46" s="9" t="inlineStr">
        <is>
          <t>CC-ONC-8821</t>
        </is>
      </c>
      <c r="E46" s="9" t="inlineStr">
        <is>
          <t>WBS-ONC-302-CLIN</t>
        </is>
      </c>
      <c r="F46" s="9" t="inlineStr">
        <is>
          <t>JP</t>
        </is>
      </c>
      <c r="G46" s="9" t="inlineStr">
        <is>
          <t>2026-07-09</t>
        </is>
      </c>
      <c r="H46" s="9" t="inlineStr">
        <is>
          <t>2026-07-12</t>
        </is>
      </c>
      <c r="I46" s="9" t="n">
        <v>87</v>
      </c>
      <c r="J46" s="9" t="n">
        <v>8.25</v>
      </c>
      <c r="K46" s="9" t="n">
        <v>77401.73</v>
      </c>
      <c r="L46" s="9" t="n">
        <v>71500</v>
      </c>
      <c r="M46" s="9" t="inlineStr">
        <is>
          <t>Amex_BTA_Ghost</t>
        </is>
      </c>
      <c r="N46" s="9" t="inlineStr">
        <is>
          <t>Y</t>
        </is>
      </c>
      <c r="O46" s="9" t="n">
        <v>16</v>
      </c>
      <c r="P46" s="9" t="inlineStr">
        <is>
          <t>EFPIA-JP-228093;EFPIA-JP-989227;EFPIA-JP-964226;EFPIA-JP-576805;EFPIA-JP-196126;EFPIA-JP-794963;EFPIA-JP-322409;EFPIA-JP-772875;EFPIA-JP-770556;EFPIA-JP-726152;EFPIA-JP-122394;EFPIA-JP-153035;EFPIA-JP-925013;EFPIA-JP-449709;EFPIA-JP-355400;EFPIA-JP-232040</t>
        </is>
      </c>
      <c r="Q46" s="9" t="inlineStr">
        <is>
          <t>Y</t>
        </is>
      </c>
      <c r="R46" s="9" t="inlineStr">
        <is>
          <t>N</t>
        </is>
      </c>
      <c r="S46" s="9" t="inlineStr">
        <is>
          <t>CVT-315173</t>
        </is>
      </c>
      <c r="T46" s="9" t="inlineStr">
        <is>
          <t>EXP-2026-171942</t>
        </is>
      </c>
      <c r="U46" s="9" t="inlineStr">
        <is>
          <t>Y</t>
        </is>
      </c>
      <c r="V46" s="9" t="n">
        <v>10</v>
      </c>
      <c r="W46" s="9" t="inlineStr">
        <is>
          <t>Y</t>
        </is>
      </c>
      <c r="X46" s="9" t="inlineStr">
        <is>
          <t>Approved</t>
        </is>
      </c>
      <c r="Y46" s="10">
        <f>IF(OR(ISBLANK(A46), ISBLANK(D46), ISBLANK(E46)), "FAIL", "PASS")</f>
        <v/>
      </c>
      <c r="Z46" s="10">
        <f>IF(H46&lt;G46, "FAIL", "PASS")</f>
        <v/>
      </c>
      <c r="AA46" s="10">
        <f>IF(AND(O46&gt;0, S46=""), "FAIL", "PASS")</f>
        <v/>
      </c>
      <c r="AB46" s="10">
        <f>IF(AND(F46="US", O46&gt;0, P46=""), "FAIL", "PASS")</f>
        <v/>
      </c>
      <c r="AC46" s="10">
        <f>IF(AND(OR(M46="Amex_BTA_Ghost", M46="Single_Use_Virtual_Card"), N46="N"), "FAIL", "PASS")</f>
        <v/>
      </c>
      <c r="AD46" s="10">
        <f>IF(OR(U46="N", V46&gt;14), "FAIL", "PASS")</f>
        <v/>
      </c>
      <c r="AE46" s="10">
        <f>IF(J46&gt;25, "FAIL", "PASS")</f>
        <v/>
      </c>
      <c r="AF46" s="10">
        <f>IF(COUNTIF(Y46:AE46, "FAIL")=0, "CLEAN", "FLAGGED")</f>
        <v/>
      </c>
    </row>
    <row r="47">
      <c r="A47" s="9" t="inlineStr">
        <is>
          <t>MTG-2026-10041</t>
        </is>
      </c>
      <c r="B47" s="9" t="inlineStr">
        <is>
          <t>Rare_Disease</t>
        </is>
      </c>
      <c r="C47" s="9" t="inlineStr">
        <is>
          <t>Commercial_Launch</t>
        </is>
      </c>
      <c r="D47" s="9" t="inlineStr">
        <is>
          <t>CC-RD-9014</t>
        </is>
      </c>
      <c r="E47" s="9" t="inlineStr">
        <is>
          <t>WBS-ONC-302-CLIN</t>
        </is>
      </c>
      <c r="F47" s="9" t="inlineStr">
        <is>
          <t>JP</t>
        </is>
      </c>
      <c r="G47" s="9" t="inlineStr">
        <is>
          <t>2026-08-01</t>
        </is>
      </c>
      <c r="H47" s="9" t="inlineStr">
        <is>
          <t>2026-08-03</t>
        </is>
      </c>
      <c r="I47" s="9" t="n">
        <v>18</v>
      </c>
      <c r="J47" s="9" t="n">
        <v>-1.47</v>
      </c>
      <c r="K47" s="9" t="n">
        <v>278728.22</v>
      </c>
      <c r="L47" s="9" t="n">
        <v>282900</v>
      </c>
      <c r="M47" s="9" t="inlineStr">
        <is>
          <t>Single_Use_Virtual_Card</t>
        </is>
      </c>
      <c r="N47" s="9" t="inlineStr">
        <is>
          <t>Y</t>
        </is>
      </c>
      <c r="O47" s="9" t="n">
        <v>12</v>
      </c>
      <c r="P47" s="9" t="inlineStr"/>
      <c r="Q47" s="9" t="inlineStr">
        <is>
          <t>Y</t>
        </is>
      </c>
      <c r="R47" s="9" t="inlineStr">
        <is>
          <t>Y</t>
        </is>
      </c>
      <c r="S47" s="9" t="inlineStr">
        <is>
          <t>CVT-439498</t>
        </is>
      </c>
      <c r="T47" s="9" t="inlineStr">
        <is>
          <t>EXP-2026-116547</t>
        </is>
      </c>
      <c r="U47" s="9" t="inlineStr">
        <is>
          <t>Y</t>
        </is>
      </c>
      <c r="V47" s="9" t="n">
        <v>2</v>
      </c>
      <c r="W47" s="9" t="inlineStr">
        <is>
          <t>Y</t>
        </is>
      </c>
      <c r="X47" s="9" t="inlineStr">
        <is>
          <t>Approved</t>
        </is>
      </c>
      <c r="Y47" s="10">
        <f>IF(OR(ISBLANK(A47), ISBLANK(D47), ISBLANK(E47)), "FAIL", "PASS")</f>
        <v/>
      </c>
      <c r="Z47" s="10">
        <f>IF(H47&lt;G47, "FAIL", "PASS")</f>
        <v/>
      </c>
      <c r="AA47" s="10">
        <f>IF(AND(O47&gt;0, S47=""), "FAIL", "PASS")</f>
        <v/>
      </c>
      <c r="AB47" s="10">
        <f>IF(AND(F47="US", O47&gt;0, P47=""), "FAIL", "PASS")</f>
        <v/>
      </c>
      <c r="AC47" s="10">
        <f>IF(AND(OR(M47="Amex_BTA_Ghost", M47="Single_Use_Virtual_Card"), N47="N"), "FAIL", "PASS")</f>
        <v/>
      </c>
      <c r="AD47" s="10">
        <f>IF(OR(U47="N", V47&gt;14), "FAIL", "PASS")</f>
        <v/>
      </c>
      <c r="AE47" s="10">
        <f>IF(J47&gt;25, "FAIL", "PASS")</f>
        <v/>
      </c>
      <c r="AF47" s="10">
        <f>IF(COUNTIF(Y47:AE47, "FAIL")=0, "CLEAN", "FLAGGED")</f>
        <v/>
      </c>
    </row>
    <row r="48">
      <c r="A48" s="9" t="inlineStr">
        <is>
          <t>MTG-2026-10042</t>
        </is>
      </c>
      <c r="B48" s="9" t="inlineStr">
        <is>
          <t>Vaccines_Infectious</t>
        </is>
      </c>
      <c r="C48" s="9" t="inlineStr">
        <is>
          <t>Advisory_Board</t>
        </is>
      </c>
      <c r="D48" s="9" t="inlineStr">
        <is>
          <t>CC-VAC-6311</t>
        </is>
      </c>
      <c r="E48" s="9" t="inlineStr">
        <is>
          <t>WBS-VAC-205-GLB</t>
        </is>
      </c>
      <c r="F48" s="9" t="inlineStr">
        <is>
          <t>US</t>
        </is>
      </c>
      <c r="G48" s="9" t="inlineStr">
        <is>
          <t>2026-05-09</t>
        </is>
      </c>
      <c r="H48" s="9" t="inlineStr">
        <is>
          <t>2026-05-12</t>
        </is>
      </c>
      <c r="I48" s="9" t="n">
        <v>83</v>
      </c>
      <c r="J48" s="9" t="n">
        <v>7.99</v>
      </c>
      <c r="K48" s="9" t="n">
        <v>112853.6</v>
      </c>
      <c r="L48" s="9" t="n">
        <v>104500</v>
      </c>
      <c r="M48" s="9" t="inlineStr">
        <is>
          <t>Single_Use_Virtual_Card</t>
        </is>
      </c>
      <c r="N48" s="9" t="inlineStr">
        <is>
          <t>Pending</t>
        </is>
      </c>
      <c r="O48" s="9" t="n">
        <v>6</v>
      </c>
      <c r="P48" s="9" t="inlineStr">
        <is>
          <t>1880871219;1940983577;1807491789;1659903980;1423873102;1591819409</t>
        </is>
      </c>
      <c r="Q48" s="9" t="inlineStr">
        <is>
          <t>Y</t>
        </is>
      </c>
      <c r="R48" s="9" t="inlineStr">
        <is>
          <t>N</t>
        </is>
      </c>
      <c r="S48" s="9" t="inlineStr">
        <is>
          <t>CVT-132663</t>
        </is>
      </c>
      <c r="T48" s="9" t="inlineStr">
        <is>
          <t>EXP-2026-163780</t>
        </is>
      </c>
      <c r="U48" s="9" t="inlineStr">
        <is>
          <t>Y</t>
        </is>
      </c>
      <c r="V48" s="9" t="n">
        <v>8</v>
      </c>
      <c r="W48" s="9" t="inlineStr">
        <is>
          <t>Y</t>
        </is>
      </c>
      <c r="X48" s="9" t="inlineStr">
        <is>
          <t>Approved</t>
        </is>
      </c>
      <c r="Y48" s="10">
        <f>IF(OR(ISBLANK(A48), ISBLANK(D48), ISBLANK(E48)), "FAIL", "PASS")</f>
        <v/>
      </c>
      <c r="Z48" s="10">
        <f>IF(H48&lt;G48, "FAIL", "PASS")</f>
        <v/>
      </c>
      <c r="AA48" s="10">
        <f>IF(AND(O48&gt;0, S48=""), "FAIL", "PASS")</f>
        <v/>
      </c>
      <c r="AB48" s="10">
        <f>IF(AND(F48="US", O48&gt;0, P48=""), "FAIL", "PASS")</f>
        <v/>
      </c>
      <c r="AC48" s="10">
        <f>IF(AND(OR(M48="Amex_BTA_Ghost", M48="Single_Use_Virtual_Card"), N48="N"), "FAIL", "PASS")</f>
        <v/>
      </c>
      <c r="AD48" s="10">
        <f>IF(OR(U48="N", V48&gt;14), "FAIL", "PASS")</f>
        <v/>
      </c>
      <c r="AE48" s="10">
        <f>IF(J48&gt;25, "FAIL", "PASS")</f>
        <v/>
      </c>
      <c r="AF48" s="10">
        <f>IF(COUNTIF(Y48:AE48, "FAIL")=0, "CLEAN", "FLAGGED")</f>
        <v/>
      </c>
    </row>
    <row r="49">
      <c r="A49" s="9" t="inlineStr">
        <is>
          <t>MTG-2026-10043</t>
        </is>
      </c>
      <c r="B49" s="9" t="inlineStr">
        <is>
          <t>Vaccines_Infectious</t>
        </is>
      </c>
      <c r="C49" s="9" t="inlineStr">
        <is>
          <t>Commercial_Launch</t>
        </is>
      </c>
      <c r="D49" s="9" t="inlineStr">
        <is>
          <t>CC-VAC-6311</t>
        </is>
      </c>
      <c r="E49" s="9" t="inlineStr">
        <is>
          <t>WBS-VAC-205-GLB</t>
        </is>
      </c>
      <c r="F49" s="9" t="inlineStr">
        <is>
          <t>JP</t>
        </is>
      </c>
      <c r="G49" s="9" t="inlineStr">
        <is>
          <t>2026-02-02</t>
        </is>
      </c>
      <c r="H49" s="9" t="inlineStr">
        <is>
          <t>2026-02-03</t>
        </is>
      </c>
      <c r="I49" s="9" t="n">
        <v>59</v>
      </c>
      <c r="J49" s="9" t="n">
        <v>5.34</v>
      </c>
      <c r="K49" s="9" t="n">
        <v>295045.99</v>
      </c>
      <c r="L49" s="9" t="n">
        <v>280100</v>
      </c>
      <c r="M49" s="9" t="inlineStr">
        <is>
          <t>Single_Use_Virtual_Card</t>
        </is>
      </c>
      <c r="N49" s="9" t="inlineStr">
        <is>
          <t>Y</t>
        </is>
      </c>
      <c r="O49" s="9" t="n">
        <v>24</v>
      </c>
      <c r="P49" s="9" t="inlineStr">
        <is>
          <t>EFPIA-JP-499407;EFPIA-JP-726410;EFPIA-JP-656329;EFPIA-JP-409222;EFPIA-JP-575755;EFPIA-JP-630108;EFPIA-JP-734836;EFPIA-JP-551096;EFPIA-JP-203996;EFPIA-JP-931621;EFPIA-JP-835869;EFPIA-JP-219971;EFPIA-JP-994217;EFPIA-JP-786516;EFPIA-JP-782535;EFPIA-JP-906315;EFPIA-JP-678116;EFPIA-JP-855855;EFPIA-JP-325468;EFPIA-JP-550961;EFPIA-JP-573489;EFPIA-JP-339592;EFPIA-JP-533914;EFPIA-JP-455395</t>
        </is>
      </c>
      <c r="Q49" s="9" t="inlineStr">
        <is>
          <t>Y</t>
        </is>
      </c>
      <c r="R49" s="9" t="inlineStr">
        <is>
          <t>N</t>
        </is>
      </c>
      <c r="S49" s="9" t="inlineStr">
        <is>
          <t>CVT-518098</t>
        </is>
      </c>
      <c r="T49" s="9" t="inlineStr">
        <is>
          <t>EXP-2026-536196</t>
        </is>
      </c>
      <c r="U49" s="9" t="inlineStr">
        <is>
          <t>Y</t>
        </is>
      </c>
      <c r="V49" s="9" t="n">
        <v>7</v>
      </c>
      <c r="W49" s="9" t="inlineStr">
        <is>
          <t>Y</t>
        </is>
      </c>
      <c r="X49" s="9" t="inlineStr">
        <is>
          <t>Approved</t>
        </is>
      </c>
      <c r="Y49" s="10">
        <f>IF(OR(ISBLANK(A49), ISBLANK(D49), ISBLANK(E49)), "FAIL", "PASS")</f>
        <v/>
      </c>
      <c r="Z49" s="10">
        <f>IF(H49&lt;G49, "FAIL", "PASS")</f>
        <v/>
      </c>
      <c r="AA49" s="10">
        <f>IF(AND(O49&gt;0, S49=""), "FAIL", "PASS")</f>
        <v/>
      </c>
      <c r="AB49" s="10">
        <f>IF(AND(F49="US", O49&gt;0, P49=""), "FAIL", "PASS")</f>
        <v/>
      </c>
      <c r="AC49" s="10">
        <f>IF(AND(OR(M49="Amex_BTA_Ghost", M49="Single_Use_Virtual_Card"), N49="N"), "FAIL", "PASS")</f>
        <v/>
      </c>
      <c r="AD49" s="10">
        <f>IF(OR(U49="N", V49&gt;14), "FAIL", "PASS")</f>
        <v/>
      </c>
      <c r="AE49" s="10">
        <f>IF(J49&gt;25, "FAIL", "PASS")</f>
        <v/>
      </c>
      <c r="AF49" s="10">
        <f>IF(COUNTIF(Y49:AE49, "FAIL")=0, "CLEAN", "FLAGGED")</f>
        <v/>
      </c>
    </row>
    <row r="50">
      <c r="A50" s="9" t="inlineStr">
        <is>
          <t>MTG-2026-10044</t>
        </is>
      </c>
      <c r="B50" s="9" t="inlineStr">
        <is>
          <t>Immunology_Inflammation</t>
        </is>
      </c>
      <c r="C50" s="9" t="inlineStr">
        <is>
          <t>Medical_Symposium</t>
        </is>
      </c>
      <c r="D50" s="9" t="inlineStr">
        <is>
          <t>CC-IMM-4102</t>
        </is>
      </c>
      <c r="E50" s="9" t="inlineStr">
        <is>
          <t>WBS-IMM-108-PH3</t>
        </is>
      </c>
      <c r="F50" s="9" t="inlineStr">
        <is>
          <t>US</t>
        </is>
      </c>
      <c r="G50" s="9" t="inlineStr">
        <is>
          <t>2026-07-09</t>
        </is>
      </c>
      <c r="H50" s="9" t="inlineStr">
        <is>
          <t>2026-07-13</t>
        </is>
      </c>
      <c r="I50" s="9" t="n">
        <v>26</v>
      </c>
      <c r="J50" s="9" t="n">
        <v>-1.08</v>
      </c>
      <c r="K50" s="9" t="n">
        <v>146002.42</v>
      </c>
      <c r="L50" s="9" t="n">
        <v>147600</v>
      </c>
      <c r="M50" s="9" t="inlineStr">
        <is>
          <t>Single_Use_Virtual_Card</t>
        </is>
      </c>
      <c r="N50" s="9" t="inlineStr">
        <is>
          <t>Y</t>
        </is>
      </c>
      <c r="O50" s="9" t="n">
        <v>10</v>
      </c>
      <c r="P50" s="9" t="inlineStr">
        <is>
          <t>1899496315;1893276164;1500126515;1971630639;1239710404;1697398528;1164404084;1729712082;1702998820;1703102938</t>
        </is>
      </c>
      <c r="Q50" s="9" t="inlineStr">
        <is>
          <t>Y</t>
        </is>
      </c>
      <c r="R50" s="9" t="inlineStr">
        <is>
          <t>N</t>
        </is>
      </c>
      <c r="S50" s="9" t="inlineStr">
        <is>
          <t>CVT-228168</t>
        </is>
      </c>
      <c r="T50" s="9" t="inlineStr">
        <is>
          <t>EXP-2026-530764</t>
        </is>
      </c>
      <c r="U50" s="9" t="inlineStr">
        <is>
          <t>Y</t>
        </is>
      </c>
      <c r="V50" s="9" t="n">
        <v>8</v>
      </c>
      <c r="W50" s="9" t="inlineStr">
        <is>
          <t>Y</t>
        </is>
      </c>
      <c r="X50" s="9" t="inlineStr">
        <is>
          <t>Approved</t>
        </is>
      </c>
      <c r="Y50" s="10">
        <f>IF(OR(ISBLANK(A50), ISBLANK(D50), ISBLANK(E50)), "FAIL", "PASS")</f>
        <v/>
      </c>
      <c r="Z50" s="10">
        <f>IF(H50&lt;G50, "FAIL", "PASS")</f>
        <v/>
      </c>
      <c r="AA50" s="10">
        <f>IF(AND(O50&gt;0, S50=""), "FAIL", "PASS")</f>
        <v/>
      </c>
      <c r="AB50" s="10">
        <f>IF(AND(F50="US", O50&gt;0, P50=""), "FAIL", "PASS")</f>
        <v/>
      </c>
      <c r="AC50" s="10">
        <f>IF(AND(OR(M50="Amex_BTA_Ghost", M50="Single_Use_Virtual_Card"), N50="N"), "FAIL", "PASS")</f>
        <v/>
      </c>
      <c r="AD50" s="10">
        <f>IF(OR(U50="N", V50&gt;14), "FAIL", "PASS")</f>
        <v/>
      </c>
      <c r="AE50" s="10">
        <f>IF(J50&gt;25, "FAIL", "PASS")</f>
        <v/>
      </c>
      <c r="AF50" s="10">
        <f>IF(COUNTIF(Y50:AE50, "FAIL")=0, "CLEAN", "FLAGGED")</f>
        <v/>
      </c>
    </row>
    <row r="51">
      <c r="A51" s="9" t="inlineStr">
        <is>
          <t>MTG-2026-10045</t>
        </is>
      </c>
      <c r="B51" s="9" t="inlineStr">
        <is>
          <t>Rare_Disease</t>
        </is>
      </c>
      <c r="C51" s="9" t="inlineStr">
        <is>
          <t>Advisory_Board</t>
        </is>
      </c>
      <c r="D51" s="9" t="inlineStr">
        <is>
          <t>CC-RD-9014</t>
        </is>
      </c>
      <c r="E51" s="9" t="inlineStr">
        <is>
          <t>WBS-IMM-108-PH3</t>
        </is>
      </c>
      <c r="F51" s="9" t="inlineStr">
        <is>
          <t>US</t>
        </is>
      </c>
      <c r="G51" s="9" t="inlineStr">
        <is>
          <t>2026-06-17</t>
        </is>
      </c>
      <c r="H51" s="9" t="inlineStr">
        <is>
          <t>2026-06-20</t>
        </is>
      </c>
      <c r="I51" s="9" t="n">
        <v>63</v>
      </c>
      <c r="J51" s="9" t="n">
        <v>58.87</v>
      </c>
      <c r="K51" s="9" t="n">
        <v>114387.64</v>
      </c>
      <c r="L51" s="9" t="n">
        <v>72000</v>
      </c>
      <c r="M51" s="9" t="inlineStr">
        <is>
          <t>Direct_Invoice_PO</t>
        </is>
      </c>
      <c r="N51" s="9" t="inlineStr">
        <is>
          <t>Y</t>
        </is>
      </c>
      <c r="O51" s="9" t="n">
        <v>34</v>
      </c>
      <c r="P51" s="9" t="inlineStr">
        <is>
          <t>1340781088;1216198604;1475932035;1697285504;1494665673;1223357166;1918841563;1399110343;1716435189;1342836476;1966747347;1560755939;1702332331;1924024405;1978779150;1767570850;1758819288;1824750726;1790092970;1697794767;1128189836;1753903309;1806340901;1990626742;1844609017;1387169808;1131088245;1293720285;1393421844;1854517058;1918630985;1431769776;1464883950;1476908532</t>
        </is>
      </c>
      <c r="Q51" s="9" t="inlineStr">
        <is>
          <t>Y</t>
        </is>
      </c>
      <c r="R51" s="9" t="inlineStr">
        <is>
          <t>Y</t>
        </is>
      </c>
      <c r="S51" s="9" t="inlineStr">
        <is>
          <t>CVT-250210</t>
        </is>
      </c>
      <c r="T51" s="9" t="inlineStr">
        <is>
          <t>EXP-2026-693830</t>
        </is>
      </c>
      <c r="U51" s="9" t="inlineStr">
        <is>
          <t>Y</t>
        </is>
      </c>
      <c r="V51" s="9" t="n">
        <v>3</v>
      </c>
      <c r="W51" s="9" t="inlineStr">
        <is>
          <t>Y</t>
        </is>
      </c>
      <c r="X51" s="9" t="inlineStr">
        <is>
          <t>Approved</t>
        </is>
      </c>
      <c r="Y51" s="10">
        <f>IF(OR(ISBLANK(A51), ISBLANK(D51), ISBLANK(E51)), "FAIL", "PASS")</f>
        <v/>
      </c>
      <c r="Z51" s="10">
        <f>IF(H51&lt;G51, "FAIL", "PASS")</f>
        <v/>
      </c>
      <c r="AA51" s="10">
        <f>IF(AND(O51&gt;0, S51=""), "FAIL", "PASS")</f>
        <v/>
      </c>
      <c r="AB51" s="10">
        <f>IF(AND(F51="US", O51&gt;0, P51=""), "FAIL", "PASS")</f>
        <v/>
      </c>
      <c r="AC51" s="10">
        <f>IF(AND(OR(M51="Amex_BTA_Ghost", M51="Single_Use_Virtual_Card"), N51="N"), "FAIL", "PASS")</f>
        <v/>
      </c>
      <c r="AD51" s="10">
        <f>IF(OR(U51="N", V51&gt;14), "FAIL", "PASS")</f>
        <v/>
      </c>
      <c r="AE51" s="10">
        <f>IF(J51&gt;25, "FAIL", "PASS")</f>
        <v/>
      </c>
      <c r="AF51" s="10">
        <f>IF(COUNTIF(Y51:AE51, "FAIL")=0, "CLEAN", "FLAGGED")</f>
        <v/>
      </c>
    </row>
    <row r="52">
      <c r="A52" s="9" t="inlineStr">
        <is>
          <t>MTG-2026-10046</t>
        </is>
      </c>
      <c r="B52" s="9" t="inlineStr">
        <is>
          <t>Vaccines_Infectious</t>
        </is>
      </c>
      <c r="C52" s="9" t="inlineStr">
        <is>
          <t>Investigator_Meeting</t>
        </is>
      </c>
      <c r="D52" s="9" t="inlineStr">
        <is>
          <t>CC-VAC-6311</t>
        </is>
      </c>
      <c r="E52" s="9" t="inlineStr">
        <is>
          <t>WBS-IMM-108-PH3</t>
        </is>
      </c>
      <c r="F52" s="9" t="inlineStr">
        <is>
          <t>GB</t>
        </is>
      </c>
      <c r="G52" s="9" t="inlineStr">
        <is>
          <t>2026-05-02</t>
        </is>
      </c>
      <c r="H52" s="9" t="inlineStr">
        <is>
          <t>2026-05-06</t>
        </is>
      </c>
      <c r="I52" s="9" t="n">
        <v>61</v>
      </c>
      <c r="J52" s="9" t="n">
        <v>11.32</v>
      </c>
      <c r="K52" s="9" t="n">
        <v>157633.47</v>
      </c>
      <c r="L52" s="9" t="n">
        <v>141600</v>
      </c>
      <c r="M52" s="9" t="inlineStr">
        <is>
          <t>Amex_BTA_Ghost</t>
        </is>
      </c>
      <c r="N52" s="9" t="inlineStr">
        <is>
          <t>N</t>
        </is>
      </c>
      <c r="O52" s="9" t="n">
        <v>9</v>
      </c>
      <c r="P52" s="9" t="inlineStr">
        <is>
          <t>EFPIA-GB-155164;EFPIA-GB-263137;EFPIA-GB-265056;EFPIA-GB-891083;EFPIA-GB-747850;EFPIA-GB-152179;EFPIA-GB-806707;EFPIA-GB-185544;EFPIA-GB-385320</t>
        </is>
      </c>
      <c r="Q52" s="9" t="inlineStr">
        <is>
          <t>Y</t>
        </is>
      </c>
      <c r="R52" s="9" t="inlineStr">
        <is>
          <t>N</t>
        </is>
      </c>
      <c r="S52" s="9" t="inlineStr">
        <is>
          <t>CVT-544611</t>
        </is>
      </c>
      <c r="T52" s="9" t="inlineStr">
        <is>
          <t>EXP-2026-609253</t>
        </is>
      </c>
      <c r="U52" s="9" t="inlineStr">
        <is>
          <t>Y</t>
        </is>
      </c>
      <c r="V52" s="9" t="n">
        <v>8</v>
      </c>
      <c r="W52" s="9" t="inlineStr">
        <is>
          <t>Y</t>
        </is>
      </c>
      <c r="X52" s="9" t="inlineStr">
        <is>
          <t>Approved</t>
        </is>
      </c>
      <c r="Y52" s="10">
        <f>IF(OR(ISBLANK(A52), ISBLANK(D52), ISBLANK(E52)), "FAIL", "PASS")</f>
        <v/>
      </c>
      <c r="Z52" s="10">
        <f>IF(H52&lt;G52, "FAIL", "PASS")</f>
        <v/>
      </c>
      <c r="AA52" s="10">
        <f>IF(AND(O52&gt;0, S52=""), "FAIL", "PASS")</f>
        <v/>
      </c>
      <c r="AB52" s="10">
        <f>IF(AND(F52="US", O52&gt;0, P52=""), "FAIL", "PASS")</f>
        <v/>
      </c>
      <c r="AC52" s="10">
        <f>IF(AND(OR(M52="Amex_BTA_Ghost", M52="Single_Use_Virtual_Card"), N52="N"), "FAIL", "PASS")</f>
        <v/>
      </c>
      <c r="AD52" s="10">
        <f>IF(OR(U52="N", V52&gt;14), "FAIL", "PASS")</f>
        <v/>
      </c>
      <c r="AE52" s="10">
        <f>IF(J52&gt;25, "FAIL", "PASS")</f>
        <v/>
      </c>
      <c r="AF52" s="10">
        <f>IF(COUNTIF(Y52:AE52, "FAIL")=0, "CLEAN", "FLAGGED")</f>
        <v/>
      </c>
    </row>
    <row r="53">
      <c r="A53" s="9" t="inlineStr">
        <is>
          <t>MTG-2026-10047</t>
        </is>
      </c>
      <c r="B53" s="9" t="inlineStr">
        <is>
          <t>Oncology</t>
        </is>
      </c>
      <c r="C53" s="9" t="inlineStr">
        <is>
          <t>Investigator_Meeting</t>
        </is>
      </c>
      <c r="D53" s="9" t="inlineStr">
        <is>
          <t>CC-ONC-8821</t>
        </is>
      </c>
      <c r="E53" s="9" t="inlineStr">
        <is>
          <t>WBS-ONC-302-CLIN</t>
        </is>
      </c>
      <c r="F53" s="9" t="inlineStr">
        <is>
          <t>CH</t>
        </is>
      </c>
      <c r="G53" s="9" t="inlineStr">
        <is>
          <t>2026-03-28</t>
        </is>
      </c>
      <c r="H53" s="9" t="inlineStr">
        <is>
          <t>2026-04-01</t>
        </is>
      </c>
      <c r="I53" s="9" t="n">
        <v>85</v>
      </c>
      <c r="J53" s="9" t="n">
        <v>7.27</v>
      </c>
      <c r="K53" s="9" t="n">
        <v>195983.75</v>
      </c>
      <c r="L53" s="9" t="n">
        <v>182700</v>
      </c>
      <c r="M53" s="9" t="inlineStr">
        <is>
          <t>Direct_Invoice_PO</t>
        </is>
      </c>
      <c r="N53" s="9" t="inlineStr">
        <is>
          <t>Y</t>
        </is>
      </c>
      <c r="O53" s="9" t="n">
        <v>7</v>
      </c>
      <c r="P53" s="9" t="inlineStr">
        <is>
          <t>EFPIA-CH-108060;EFPIA-CH-314353;EFPIA-CH-416061;EFPIA-CH-321494;EFPIA-CH-904624;EFPIA-CH-243901;EFPIA-CH-901280</t>
        </is>
      </c>
      <c r="Q53" s="9" t="inlineStr">
        <is>
          <t>Y</t>
        </is>
      </c>
      <c r="R53" s="9" t="inlineStr">
        <is>
          <t>Y</t>
        </is>
      </c>
      <c r="S53" s="9" t="inlineStr">
        <is>
          <t>CVT-444061</t>
        </is>
      </c>
      <c r="T53" s="9" t="inlineStr">
        <is>
          <t>EXP-2026-225812</t>
        </is>
      </c>
      <c r="U53" s="9" t="inlineStr">
        <is>
          <t>Y</t>
        </is>
      </c>
      <c r="V53" s="9" t="n">
        <v>8</v>
      </c>
      <c r="W53" s="9" t="inlineStr">
        <is>
          <t>Y</t>
        </is>
      </c>
      <c r="X53" s="9" t="inlineStr">
        <is>
          <t>Approved</t>
        </is>
      </c>
      <c r="Y53" s="10">
        <f>IF(OR(ISBLANK(A53), ISBLANK(D53), ISBLANK(E53)), "FAIL", "PASS")</f>
        <v/>
      </c>
      <c r="Z53" s="10">
        <f>IF(H53&lt;G53, "FAIL", "PASS")</f>
        <v/>
      </c>
      <c r="AA53" s="10">
        <f>IF(AND(O53&gt;0, S53=""), "FAIL", "PASS")</f>
        <v/>
      </c>
      <c r="AB53" s="10">
        <f>IF(AND(F53="US", O53&gt;0, P53=""), "FAIL", "PASS")</f>
        <v/>
      </c>
      <c r="AC53" s="10">
        <f>IF(AND(OR(M53="Amex_BTA_Ghost", M53="Single_Use_Virtual_Card"), N53="N"), "FAIL", "PASS")</f>
        <v/>
      </c>
      <c r="AD53" s="10">
        <f>IF(OR(U53="N", V53&gt;14), "FAIL", "PASS")</f>
        <v/>
      </c>
      <c r="AE53" s="10">
        <f>IF(J53&gt;25, "FAIL", "PASS")</f>
        <v/>
      </c>
      <c r="AF53" s="10">
        <f>IF(COUNTIF(Y53:AE53, "FAIL")=0, "CLEAN", "FLAGGED")</f>
        <v/>
      </c>
    </row>
    <row r="54">
      <c r="A54" s="9" t="inlineStr">
        <is>
          <t>MTG-2026-10048</t>
        </is>
      </c>
      <c r="B54" s="9" t="inlineStr">
        <is>
          <t>Rare_Disease</t>
        </is>
      </c>
      <c r="C54" s="9" t="inlineStr">
        <is>
          <t>Advisory_Board</t>
        </is>
      </c>
      <c r="D54" s="9" t="inlineStr">
        <is>
          <t>CC-RD-9014</t>
        </is>
      </c>
      <c r="E54" s="9" t="inlineStr">
        <is>
          <t>WBS-ONC-302-CLIN</t>
        </is>
      </c>
      <c r="F54" s="9" t="inlineStr">
        <is>
          <t>GB</t>
        </is>
      </c>
      <c r="G54" s="9" t="inlineStr">
        <is>
          <t>2026-02-02</t>
        </is>
      </c>
      <c r="H54" s="9" t="inlineStr">
        <is>
          <t>2026-02-06</t>
        </is>
      </c>
      <c r="I54" s="9" t="n">
        <v>23</v>
      </c>
      <c r="J54" s="9" t="n">
        <v>4.12</v>
      </c>
      <c r="K54" s="9" t="n">
        <v>138061.17</v>
      </c>
      <c r="L54" s="9" t="n">
        <v>132600</v>
      </c>
      <c r="M54" s="9" t="inlineStr">
        <is>
          <t>Single_Use_Virtual_Card</t>
        </is>
      </c>
      <c r="N54" s="9" t="inlineStr">
        <is>
          <t>Y</t>
        </is>
      </c>
      <c r="O54" s="9" t="n">
        <v>24</v>
      </c>
      <c r="P54" s="9" t="inlineStr">
        <is>
          <t>EFPIA-GB-703727;EFPIA-GB-550137;EFPIA-GB-701253;EFPIA-GB-524068;EFPIA-GB-843963;EFPIA-GB-771237;EFPIA-GB-537983;EFPIA-GB-403578;EFPIA-GB-220768;EFPIA-GB-524707;EFPIA-GB-121869;EFPIA-GB-440544;EFPIA-GB-280222;EFPIA-GB-940247;EFPIA-GB-748151;EFPIA-GB-582446;EFPIA-GB-972442;EFPIA-GB-823108;EFPIA-GB-479430;EFPIA-GB-192410;EFPIA-GB-557925;EFPIA-GB-985506;EFPIA-GB-211005;EFPIA-GB-355135</t>
        </is>
      </c>
      <c r="Q54" s="9" t="inlineStr">
        <is>
          <t>Y</t>
        </is>
      </c>
      <c r="R54" s="9" t="inlineStr">
        <is>
          <t>N</t>
        </is>
      </c>
      <c r="S54" s="9" t="inlineStr">
        <is>
          <t>CVT-519902</t>
        </is>
      </c>
      <c r="T54" s="9" t="inlineStr">
        <is>
          <t>EXP-2026-649414</t>
        </is>
      </c>
      <c r="U54" s="9" t="inlineStr">
        <is>
          <t>Y</t>
        </is>
      </c>
      <c r="V54" s="9" t="n">
        <v>6</v>
      </c>
      <c r="W54" s="9" t="inlineStr">
        <is>
          <t>Y</t>
        </is>
      </c>
      <c r="X54" s="9" t="inlineStr">
        <is>
          <t>Approved</t>
        </is>
      </c>
      <c r="Y54" s="10">
        <f>IF(OR(ISBLANK(A54), ISBLANK(D54), ISBLANK(E54)), "FAIL", "PASS")</f>
        <v/>
      </c>
      <c r="Z54" s="10">
        <f>IF(H54&lt;G54, "FAIL", "PASS")</f>
        <v/>
      </c>
      <c r="AA54" s="10">
        <f>IF(AND(O54&gt;0, S54=""), "FAIL", "PASS")</f>
        <v/>
      </c>
      <c r="AB54" s="10">
        <f>IF(AND(F54="US", O54&gt;0, P54=""), "FAIL", "PASS")</f>
        <v/>
      </c>
      <c r="AC54" s="10">
        <f>IF(AND(OR(M54="Amex_BTA_Ghost", M54="Single_Use_Virtual_Card"), N54="N"), "FAIL", "PASS")</f>
        <v/>
      </c>
      <c r="AD54" s="10">
        <f>IF(OR(U54="N", V54&gt;14), "FAIL", "PASS")</f>
        <v/>
      </c>
      <c r="AE54" s="10">
        <f>IF(J54&gt;25, "FAIL", "PASS")</f>
        <v/>
      </c>
      <c r="AF54" s="10">
        <f>IF(COUNTIF(Y54:AE54, "FAIL")=0, "CLEAN", "FLAGGED")</f>
        <v/>
      </c>
    </row>
    <row r="55">
      <c r="A55" s="9" t="inlineStr">
        <is>
          <t>MTG-2026-10049</t>
        </is>
      </c>
      <c r="B55" s="9" t="inlineStr">
        <is>
          <t>Immunology_Inflammation</t>
        </is>
      </c>
      <c r="C55" s="9" t="inlineStr">
        <is>
          <t>Investigator_Meeting</t>
        </is>
      </c>
      <c r="D55" s="9" t="inlineStr">
        <is>
          <t>CC-IMM-4102</t>
        </is>
      </c>
      <c r="E55" s="9" t="inlineStr">
        <is>
          <t>WBS-IMM-108-PH3</t>
        </is>
      </c>
      <c r="F55" s="9" t="inlineStr">
        <is>
          <t>US</t>
        </is>
      </c>
      <c r="G55" s="9" t="inlineStr">
        <is>
          <t>2026-02-03</t>
        </is>
      </c>
      <c r="H55" s="9" t="inlineStr">
        <is>
          <t>2026-02-04</t>
        </is>
      </c>
      <c r="I55" s="9" t="n">
        <v>85</v>
      </c>
      <c r="J55" s="9" t="n">
        <v>14.99</v>
      </c>
      <c r="K55" s="9" t="n">
        <v>257697.37</v>
      </c>
      <c r="L55" s="9" t="n">
        <v>224100</v>
      </c>
      <c r="M55" s="9" t="inlineStr">
        <is>
          <t>Amex_BTA_Ghost</t>
        </is>
      </c>
      <c r="N55" s="9" t="inlineStr">
        <is>
          <t>Y</t>
        </is>
      </c>
      <c r="O55" s="9" t="n">
        <v>26</v>
      </c>
      <c r="P55" s="9" t="inlineStr">
        <is>
          <t>1881017363;1979339361;1793039113;1975139327;1258580752;1353691745;1210385522;1257243284;1374843786;1311818984;1286293158;1746820987;1264142683;1916274954;1915133660;1803847447;1180909963;1290209201;1929839316;1774254861;1630554118;1598165815;1910080036;1705306363;1915911873;1722199123</t>
        </is>
      </c>
      <c r="Q55" s="9" t="inlineStr">
        <is>
          <t>Y</t>
        </is>
      </c>
      <c r="R55" s="9" t="inlineStr">
        <is>
          <t>N</t>
        </is>
      </c>
      <c r="S55" s="9" t="inlineStr">
        <is>
          <t>CVT-691912</t>
        </is>
      </c>
      <c r="T55" s="9" t="inlineStr">
        <is>
          <t>EXP-2026-774225</t>
        </is>
      </c>
      <c r="U55" s="9" t="inlineStr">
        <is>
          <t>Y</t>
        </is>
      </c>
      <c r="V55" s="9" t="n">
        <v>11</v>
      </c>
      <c r="W55" s="9" t="inlineStr">
        <is>
          <t>Y</t>
        </is>
      </c>
      <c r="X55" s="9" t="inlineStr">
        <is>
          <t>Approved</t>
        </is>
      </c>
      <c r="Y55" s="10">
        <f>IF(OR(ISBLANK(A55), ISBLANK(D55), ISBLANK(E55)), "FAIL", "PASS")</f>
        <v/>
      </c>
      <c r="Z55" s="10">
        <f>IF(H55&lt;G55, "FAIL", "PASS")</f>
        <v/>
      </c>
      <c r="AA55" s="10">
        <f>IF(AND(O55&gt;0, S55=""), "FAIL", "PASS")</f>
        <v/>
      </c>
      <c r="AB55" s="10">
        <f>IF(AND(F55="US", O55&gt;0, P55=""), "FAIL", "PASS")</f>
        <v/>
      </c>
      <c r="AC55" s="10">
        <f>IF(AND(OR(M55="Amex_BTA_Ghost", M55="Single_Use_Virtual_Card"), N55="N"), "FAIL", "PASS")</f>
        <v/>
      </c>
      <c r="AD55" s="10">
        <f>IF(OR(U55="N", V55&gt;14), "FAIL", "PASS")</f>
        <v/>
      </c>
      <c r="AE55" s="10">
        <f>IF(J55&gt;25, "FAIL", "PASS")</f>
        <v/>
      </c>
      <c r="AF55" s="10">
        <f>IF(COUNTIF(Y55:AE55, "FAIL")=0, "CLEAN", "FLAGGED")</f>
        <v/>
      </c>
    </row>
    <row r="56">
      <c r="A56" s="9" t="inlineStr">
        <is>
          <t>MTG-2026-10050</t>
        </is>
      </c>
      <c r="B56" s="9" t="inlineStr">
        <is>
          <t>Vaccines_Infectious</t>
        </is>
      </c>
      <c r="C56" s="9" t="inlineStr">
        <is>
          <t>Medical_Symposium</t>
        </is>
      </c>
      <c r="D56" s="9" t="inlineStr">
        <is>
          <t>CC-VAC-6311</t>
        </is>
      </c>
      <c r="E56" s="9" t="inlineStr">
        <is>
          <t>WBS-VAC-205-GLB</t>
        </is>
      </c>
      <c r="F56" s="9" t="inlineStr">
        <is>
          <t>US</t>
        </is>
      </c>
      <c r="G56" s="9" t="inlineStr">
        <is>
          <t>2026-02-01</t>
        </is>
      </c>
      <c r="H56" s="9" t="inlineStr">
        <is>
          <t>2026-02-05</t>
        </is>
      </c>
      <c r="I56" s="9" t="n">
        <v>74</v>
      </c>
      <c r="J56" s="9" t="n">
        <v>8.06</v>
      </c>
      <c r="K56" s="9" t="n">
        <v>141452.46</v>
      </c>
      <c r="L56" s="9" t="n">
        <v>130900</v>
      </c>
      <c r="M56" s="9" t="inlineStr">
        <is>
          <t>Single_Use_Virtual_Card</t>
        </is>
      </c>
      <c r="N56" s="9" t="inlineStr">
        <is>
          <t>Y</t>
        </is>
      </c>
      <c r="O56" s="9" t="n">
        <v>7</v>
      </c>
      <c r="P56" s="9" t="inlineStr">
        <is>
          <t>1477895080;1644748834;1179661615;1433297890;1595792218;1585238820;1140380477</t>
        </is>
      </c>
      <c r="Q56" s="9" t="inlineStr">
        <is>
          <t>Y</t>
        </is>
      </c>
      <c r="R56" s="9" t="inlineStr">
        <is>
          <t>Y</t>
        </is>
      </c>
      <c r="S56" s="9" t="inlineStr">
        <is>
          <t>CVT-972097</t>
        </is>
      </c>
      <c r="T56" s="9" t="inlineStr">
        <is>
          <t>EXP-2026-401022</t>
        </is>
      </c>
      <c r="U56" s="9" t="inlineStr">
        <is>
          <t>Y</t>
        </is>
      </c>
      <c r="V56" s="9" t="n">
        <v>3</v>
      </c>
      <c r="W56" s="9" t="inlineStr">
        <is>
          <t>Y</t>
        </is>
      </c>
      <c r="X56" s="9" t="inlineStr">
        <is>
          <t>Approved</t>
        </is>
      </c>
      <c r="Y56" s="10">
        <f>IF(OR(ISBLANK(A56), ISBLANK(D56), ISBLANK(E56)), "FAIL", "PASS")</f>
        <v/>
      </c>
      <c r="Z56" s="10">
        <f>IF(H56&lt;G56, "FAIL", "PASS")</f>
        <v/>
      </c>
      <c r="AA56" s="10">
        <f>IF(AND(O56&gt;0, S56=""), "FAIL", "PASS")</f>
        <v/>
      </c>
      <c r="AB56" s="10">
        <f>IF(AND(F56="US", O56&gt;0, P56=""), "FAIL", "PASS")</f>
        <v/>
      </c>
      <c r="AC56" s="10">
        <f>IF(AND(OR(M56="Amex_BTA_Ghost", M56="Single_Use_Virtual_Card"), N56="N"), "FAIL", "PASS")</f>
        <v/>
      </c>
      <c r="AD56" s="10">
        <f>IF(OR(U56="N", V56&gt;14), "FAIL", "PASS")</f>
        <v/>
      </c>
      <c r="AE56" s="10">
        <f>IF(J56&gt;25, "FAIL", "PASS")</f>
        <v/>
      </c>
      <c r="AF56" s="10">
        <f>IF(COUNTIF(Y56:AE56, "FAIL")=0, "CLEAN", "FLAGGED")</f>
        <v/>
      </c>
    </row>
    <row r="57">
      <c r="A57" s="9" t="inlineStr">
        <is>
          <t>MTG-2026-10051</t>
        </is>
      </c>
      <c r="B57" s="9" t="inlineStr">
        <is>
          <t>Vaccines_Infectious</t>
        </is>
      </c>
      <c r="C57" s="9" t="inlineStr">
        <is>
          <t>Internal_Sales_Rally</t>
        </is>
      </c>
      <c r="D57" s="9" t="inlineStr">
        <is>
          <t>CC-VAC-6311</t>
        </is>
      </c>
      <c r="E57" s="9" t="inlineStr">
        <is>
          <t>WBS-VAC-205-GLB</t>
        </is>
      </c>
      <c r="F57" s="9" t="inlineStr">
        <is>
          <t>US</t>
        </is>
      </c>
      <c r="G57" s="9" t="inlineStr">
        <is>
          <t>2026-06-12</t>
        </is>
      </c>
      <c r="H57" s="9" t="inlineStr">
        <is>
          <t>2026-06-13</t>
        </is>
      </c>
      <c r="I57" s="9" t="n">
        <v>75</v>
      </c>
      <c r="J57" s="9" t="n">
        <v>-0.25</v>
      </c>
      <c r="K57" s="9" t="n">
        <v>93766.5</v>
      </c>
      <c r="L57" s="9" t="n">
        <v>94000</v>
      </c>
      <c r="M57" s="9" t="inlineStr">
        <is>
          <t>Single_Use_Virtual_Card</t>
        </is>
      </c>
      <c r="N57" s="9" t="inlineStr">
        <is>
          <t>Y</t>
        </is>
      </c>
      <c r="O57" s="9" t="n">
        <v>0</v>
      </c>
      <c r="P57" s="9" t="inlineStr"/>
      <c r="Q57" s="9" t="inlineStr">
        <is>
          <t>nan</t>
        </is>
      </c>
      <c r="R57" s="9" t="inlineStr">
        <is>
          <t>N</t>
        </is>
      </c>
      <c r="S57" s="9" t="inlineStr">
        <is>
          <t>CVT-734394</t>
        </is>
      </c>
      <c r="T57" s="9" t="inlineStr">
        <is>
          <t>EXP-2026-598733</t>
        </is>
      </c>
      <c r="U57" s="9" t="inlineStr">
        <is>
          <t>Y</t>
        </is>
      </c>
      <c r="V57" s="9" t="n">
        <v>2</v>
      </c>
      <c r="W57" s="9" t="inlineStr">
        <is>
          <t>N</t>
        </is>
      </c>
      <c r="X57" s="9" t="inlineStr">
        <is>
          <t>Approved</t>
        </is>
      </c>
      <c r="Y57" s="10">
        <f>IF(OR(ISBLANK(A57), ISBLANK(D57), ISBLANK(E57)), "FAIL", "PASS")</f>
        <v/>
      </c>
      <c r="Z57" s="10">
        <f>IF(H57&lt;G57, "FAIL", "PASS")</f>
        <v/>
      </c>
      <c r="AA57" s="10">
        <f>IF(AND(O57&gt;0, S57=""), "FAIL", "PASS")</f>
        <v/>
      </c>
      <c r="AB57" s="10">
        <f>IF(AND(F57="US", O57&gt;0, P57=""), "FAIL", "PASS")</f>
        <v/>
      </c>
      <c r="AC57" s="10">
        <f>IF(AND(OR(M57="Amex_BTA_Ghost", M57="Single_Use_Virtual_Card"), N57="N"), "FAIL", "PASS")</f>
        <v/>
      </c>
      <c r="AD57" s="10">
        <f>IF(OR(U57="N", V57&gt;14), "FAIL", "PASS")</f>
        <v/>
      </c>
      <c r="AE57" s="10">
        <f>IF(J57&gt;25, "FAIL", "PASS")</f>
        <v/>
      </c>
      <c r="AF57" s="10">
        <f>IF(COUNTIF(Y57:AE57, "FAIL")=0, "CLEAN", "FLAGGED")</f>
        <v/>
      </c>
    </row>
    <row r="58">
      <c r="A58" s="9" t="inlineStr">
        <is>
          <t>MTG-2026-10052</t>
        </is>
      </c>
      <c r="B58" s="9" t="inlineStr">
        <is>
          <t>Rare_Disease</t>
        </is>
      </c>
      <c r="C58" s="9" t="inlineStr">
        <is>
          <t>Investigator_Meeting</t>
        </is>
      </c>
      <c r="D58" s="9" t="inlineStr">
        <is>
          <t>CC-RD-9014</t>
        </is>
      </c>
      <c r="E58" s="9" t="inlineStr">
        <is>
          <t>WBS-RD-401-REG</t>
        </is>
      </c>
      <c r="F58" s="9" t="inlineStr">
        <is>
          <t>CH</t>
        </is>
      </c>
      <c r="G58" s="9" t="inlineStr">
        <is>
          <t>2026-07-16</t>
        </is>
      </c>
      <c r="H58" s="9" t="inlineStr">
        <is>
          <t>2026-07-17</t>
        </is>
      </c>
      <c r="I58" s="9" t="n">
        <v>82</v>
      </c>
      <c r="J58" s="9" t="n">
        <v>7.34</v>
      </c>
      <c r="K58" s="9" t="n">
        <v>227766.69</v>
      </c>
      <c r="L58" s="9" t="n">
        <v>212200</v>
      </c>
      <c r="M58" s="9" t="inlineStr">
        <is>
          <t>Single_Use_Virtual_Card</t>
        </is>
      </c>
      <c r="N58" s="9" t="inlineStr">
        <is>
          <t>Y</t>
        </is>
      </c>
      <c r="O58" s="9" t="n">
        <v>32</v>
      </c>
      <c r="P58" s="9" t="inlineStr">
        <is>
          <t>EFPIA-CH-560767;EFPIA-CH-649525;EFPIA-CH-648141;EFPIA-CH-739427;EFPIA-CH-266457;EFPIA-CH-481574;EFPIA-CH-490963;EFPIA-CH-396635;EFPIA-CH-506235;EFPIA-CH-528625;EFPIA-CH-912085;EFPIA-CH-454803;EFPIA-CH-811875;EFPIA-CH-726928;EFPIA-CH-154909;EFPIA-CH-927564;EFPIA-CH-761532;EFPIA-CH-778748;EFPIA-CH-450905;EFPIA-CH-169113;EFPIA-CH-445705;EFPIA-CH-199096;EFPIA-CH-685066;EFPIA-CH-811332;EFPIA-CH-505341;EFPIA-CH-397949;EFPIA-CH-364236;EFPIA-CH-858889;EFPIA-CH-992931;EFPIA-CH-788457;EFPIA-CH-731977;EFPIA-CH-257677</t>
        </is>
      </c>
      <c r="Q58" s="9" t="inlineStr">
        <is>
          <t>Y</t>
        </is>
      </c>
      <c r="R58" s="9" t="inlineStr">
        <is>
          <t>N</t>
        </is>
      </c>
      <c r="S58" s="9" t="inlineStr">
        <is>
          <t>CVT-711046</t>
        </is>
      </c>
      <c r="T58" s="9" t="inlineStr">
        <is>
          <t>EXP-2026-795847</t>
        </is>
      </c>
      <c r="U58" s="9" t="inlineStr">
        <is>
          <t>Y</t>
        </is>
      </c>
      <c r="V58" s="9" t="n">
        <v>7</v>
      </c>
      <c r="W58" s="9" t="inlineStr">
        <is>
          <t>Y</t>
        </is>
      </c>
      <c r="X58" s="9" t="inlineStr">
        <is>
          <t>Approved</t>
        </is>
      </c>
      <c r="Y58" s="10">
        <f>IF(OR(ISBLANK(A58), ISBLANK(D58), ISBLANK(E58)), "FAIL", "PASS")</f>
        <v/>
      </c>
      <c r="Z58" s="10">
        <f>IF(H58&lt;G58, "FAIL", "PASS")</f>
        <v/>
      </c>
      <c r="AA58" s="10">
        <f>IF(AND(O58&gt;0, S58=""), "FAIL", "PASS")</f>
        <v/>
      </c>
      <c r="AB58" s="10">
        <f>IF(AND(F58="US", O58&gt;0, P58=""), "FAIL", "PASS")</f>
        <v/>
      </c>
      <c r="AC58" s="10">
        <f>IF(AND(OR(M58="Amex_BTA_Ghost", M58="Single_Use_Virtual_Card"), N58="N"), "FAIL", "PASS")</f>
        <v/>
      </c>
      <c r="AD58" s="10">
        <f>IF(OR(U58="N", V58&gt;14), "FAIL", "PASS")</f>
        <v/>
      </c>
      <c r="AE58" s="10">
        <f>IF(J58&gt;25, "FAIL", "PASS")</f>
        <v/>
      </c>
      <c r="AF58" s="10">
        <f>IF(COUNTIF(Y58:AE58, "FAIL")=0, "CLEAN", "FLAGGED")</f>
        <v/>
      </c>
    </row>
    <row r="59">
      <c r="A59" s="9" t="inlineStr">
        <is>
          <t>MTG-2026-10053</t>
        </is>
      </c>
      <c r="B59" s="9" t="inlineStr">
        <is>
          <t>Immunology_Inflammation</t>
        </is>
      </c>
      <c r="C59" s="9" t="inlineStr">
        <is>
          <t>Medical_Symposium</t>
        </is>
      </c>
      <c r="D59" s="9" t="inlineStr">
        <is>
          <t>CC-IMM-4102</t>
        </is>
      </c>
      <c r="E59" s="9" t="inlineStr">
        <is>
          <t>WBS-IMM-108-PH3</t>
        </is>
      </c>
      <c r="F59" s="9" t="inlineStr">
        <is>
          <t>FR</t>
        </is>
      </c>
      <c r="G59" s="9" t="inlineStr">
        <is>
          <t>2026-06-16</t>
        </is>
      </c>
      <c r="H59" s="9" t="inlineStr">
        <is>
          <t>2026-06-17</t>
        </is>
      </c>
      <c r="I59" s="9" t="n">
        <v>57</v>
      </c>
      <c r="J59" s="9" t="n">
        <v>11.91</v>
      </c>
      <c r="K59" s="9" t="n">
        <v>107100.94</v>
      </c>
      <c r="L59" s="9" t="n">
        <v>95700</v>
      </c>
      <c r="M59" s="9" t="inlineStr">
        <is>
          <t>Single_Use_Virtual_Card</t>
        </is>
      </c>
      <c r="N59" s="9" t="inlineStr">
        <is>
          <t>Pending</t>
        </is>
      </c>
      <c r="O59" s="9" t="n">
        <v>12</v>
      </c>
      <c r="P59" s="9" t="inlineStr">
        <is>
          <t>EFPIA-FR-802667;EFPIA-FR-836971;EFPIA-FR-969226;EFPIA-FR-874661;EFPIA-FR-818709;EFPIA-FR-651963;EFPIA-FR-197992;EFPIA-FR-777406;EFPIA-FR-803024;EFPIA-FR-543973;EFPIA-FR-633188;EFPIA-FR-479404</t>
        </is>
      </c>
      <c r="Q59" s="9" t="inlineStr">
        <is>
          <t>Y</t>
        </is>
      </c>
      <c r="R59" s="9" t="inlineStr">
        <is>
          <t>Y</t>
        </is>
      </c>
      <c r="S59" s="9" t="inlineStr">
        <is>
          <t>CVT-423869</t>
        </is>
      </c>
      <c r="T59" s="9" t="inlineStr">
        <is>
          <t>EXP-2026-289019</t>
        </is>
      </c>
      <c r="U59" s="9" t="inlineStr">
        <is>
          <t>Y</t>
        </is>
      </c>
      <c r="V59" s="9" t="n">
        <v>7</v>
      </c>
      <c r="W59" s="9" t="inlineStr">
        <is>
          <t>Y</t>
        </is>
      </c>
      <c r="X59" s="9" t="inlineStr">
        <is>
          <t>Approved</t>
        </is>
      </c>
      <c r="Y59" s="10">
        <f>IF(OR(ISBLANK(A59), ISBLANK(D59), ISBLANK(E59)), "FAIL", "PASS")</f>
        <v/>
      </c>
      <c r="Z59" s="10">
        <f>IF(H59&lt;G59, "FAIL", "PASS")</f>
        <v/>
      </c>
      <c r="AA59" s="10">
        <f>IF(AND(O59&gt;0, S59=""), "FAIL", "PASS")</f>
        <v/>
      </c>
      <c r="AB59" s="10">
        <f>IF(AND(F59="US", O59&gt;0, P59=""), "FAIL", "PASS")</f>
        <v/>
      </c>
      <c r="AC59" s="10">
        <f>IF(AND(OR(M59="Amex_BTA_Ghost", M59="Single_Use_Virtual_Card"), N59="N"), "FAIL", "PASS")</f>
        <v/>
      </c>
      <c r="AD59" s="10">
        <f>IF(OR(U59="N", V59&gt;14), "FAIL", "PASS")</f>
        <v/>
      </c>
      <c r="AE59" s="10">
        <f>IF(J59&gt;25, "FAIL", "PASS")</f>
        <v/>
      </c>
      <c r="AF59" s="10">
        <f>IF(COUNTIF(Y59:AE59, "FAIL")=0, "CLEAN", "FLAGGED")</f>
        <v/>
      </c>
    </row>
    <row r="60">
      <c r="A60" s="9" t="inlineStr">
        <is>
          <t>MTG-2026-10054</t>
        </is>
      </c>
      <c r="B60" s="9" t="inlineStr">
        <is>
          <t>Immunology_Inflammation</t>
        </is>
      </c>
      <c r="C60" s="9" t="inlineStr">
        <is>
          <t>Commercial_Launch</t>
        </is>
      </c>
      <c r="D60" s="9" t="inlineStr">
        <is>
          <t>CC-IMM-4102</t>
        </is>
      </c>
      <c r="E60" s="9" t="inlineStr">
        <is>
          <t>WBS-IMM-108-PH3</t>
        </is>
      </c>
      <c r="F60" s="9" t="inlineStr">
        <is>
          <t>US</t>
        </is>
      </c>
      <c r="G60" s="9" t="inlineStr">
        <is>
          <t>2026-02-19</t>
        </is>
      </c>
      <c r="H60" s="9" t="inlineStr">
        <is>
          <t>2026-02-21</t>
        </is>
      </c>
      <c r="I60" s="9" t="n">
        <v>27</v>
      </c>
      <c r="J60" s="9" t="n">
        <v>-1.06</v>
      </c>
      <c r="K60" s="9" t="n">
        <v>273857.63</v>
      </c>
      <c r="L60" s="9" t="n">
        <v>276800</v>
      </c>
      <c r="M60" s="9" t="inlineStr">
        <is>
          <t>Amex_BTA_Ghost</t>
        </is>
      </c>
      <c r="N60" s="9" t="inlineStr">
        <is>
          <t>N</t>
        </is>
      </c>
      <c r="O60" s="9" t="n">
        <v>6</v>
      </c>
      <c r="P60" s="9" t="inlineStr">
        <is>
          <t>1810741110;1461597989;1922816526;1763606238;1240712839;1741288486</t>
        </is>
      </c>
      <c r="Q60" s="9" t="inlineStr">
        <is>
          <t>Y</t>
        </is>
      </c>
      <c r="R60" s="9" t="inlineStr">
        <is>
          <t>N</t>
        </is>
      </c>
      <c r="S60" s="9" t="inlineStr">
        <is>
          <t>CVT-270128</t>
        </is>
      </c>
      <c r="T60" s="9" t="inlineStr"/>
      <c r="U60" s="9" t="inlineStr">
        <is>
          <t>Y</t>
        </is>
      </c>
      <c r="V60" s="9" t="n">
        <v>11</v>
      </c>
      <c r="W60" s="9" t="inlineStr">
        <is>
          <t>Y</t>
        </is>
      </c>
      <c r="X60" s="9" t="inlineStr">
        <is>
          <t>Approved</t>
        </is>
      </c>
      <c r="Y60" s="10">
        <f>IF(OR(ISBLANK(A60), ISBLANK(D60), ISBLANK(E60)), "FAIL", "PASS")</f>
        <v/>
      </c>
      <c r="Z60" s="10">
        <f>IF(H60&lt;G60, "FAIL", "PASS")</f>
        <v/>
      </c>
      <c r="AA60" s="10">
        <f>IF(AND(O60&gt;0, S60=""), "FAIL", "PASS")</f>
        <v/>
      </c>
      <c r="AB60" s="10">
        <f>IF(AND(F60="US", O60&gt;0, P60=""), "FAIL", "PASS")</f>
        <v/>
      </c>
      <c r="AC60" s="10">
        <f>IF(AND(OR(M60="Amex_BTA_Ghost", M60="Single_Use_Virtual_Card"), N60="N"), "FAIL", "PASS")</f>
        <v/>
      </c>
      <c r="AD60" s="10">
        <f>IF(OR(U60="N", V60&gt;14), "FAIL", "PASS")</f>
        <v/>
      </c>
      <c r="AE60" s="10">
        <f>IF(J60&gt;25, "FAIL", "PASS")</f>
        <v/>
      </c>
      <c r="AF60" s="10">
        <f>IF(COUNTIF(Y60:AE60, "FAIL")=0, "CLEAN", "FLAGGED")</f>
        <v/>
      </c>
    </row>
    <row r="61">
      <c r="A61" s="9" t="inlineStr">
        <is>
          <t>MTG-2026-10055</t>
        </is>
      </c>
      <c r="B61" s="9" t="inlineStr">
        <is>
          <t>Oncology</t>
        </is>
      </c>
      <c r="C61" s="9" t="inlineStr">
        <is>
          <t>Medical_Symposium</t>
        </is>
      </c>
      <c r="D61" s="9" t="inlineStr">
        <is>
          <t>CC-ONC-8821</t>
        </is>
      </c>
      <c r="E61" s="9" t="inlineStr">
        <is>
          <t>WBS-ONC-302-CLIN</t>
        </is>
      </c>
      <c r="F61" s="9" t="inlineStr">
        <is>
          <t>GB</t>
        </is>
      </c>
      <c r="G61" s="9" t="inlineStr">
        <is>
          <t>2026-04-30</t>
        </is>
      </c>
      <c r="H61" s="9" t="inlineStr">
        <is>
          <t>2026-05-03</t>
        </is>
      </c>
      <c r="I61" s="9" t="n">
        <v>48</v>
      </c>
      <c r="J61" s="9" t="n">
        <v>-6.56</v>
      </c>
      <c r="K61" s="9" t="n">
        <v>88862.49000000001</v>
      </c>
      <c r="L61" s="9" t="n">
        <v>95100</v>
      </c>
      <c r="M61" s="9" t="inlineStr">
        <is>
          <t>Single_Use_Virtual_Card</t>
        </is>
      </c>
      <c r="N61" s="9" t="inlineStr">
        <is>
          <t>Y</t>
        </is>
      </c>
      <c r="O61" s="9" t="n">
        <v>32</v>
      </c>
      <c r="P61" s="9" t="inlineStr">
        <is>
          <t>EFPIA-GB-345369;EFPIA-GB-659951;EFPIA-GB-350786;EFPIA-GB-424500;EFPIA-GB-947903;EFPIA-GB-922471;EFPIA-GB-591798;EFPIA-GB-975679;EFPIA-GB-303440;EFPIA-GB-485709;EFPIA-GB-811256;EFPIA-GB-698128;EFPIA-GB-561999;EFPIA-GB-584106;EFPIA-GB-906814;EFPIA-GB-395459;EFPIA-GB-915922;EFPIA-GB-500422;EFPIA-GB-627335;EFPIA-GB-653081;EFPIA-GB-538997;EFPIA-GB-269930;EFPIA-GB-956572;EFPIA-GB-309398;EFPIA-GB-940181;EFPIA-GB-734035;EFPIA-GB-245121;EFPIA-GB-362147;EFPIA-GB-154714;EFPIA-GB-772324;EFPIA-GB-603935;EFPIA-GB-489244</t>
        </is>
      </c>
      <c r="Q61" s="9" t="inlineStr">
        <is>
          <t>Y</t>
        </is>
      </c>
      <c r="R61" s="9" t="inlineStr">
        <is>
          <t>N</t>
        </is>
      </c>
      <c r="S61" s="9" t="inlineStr">
        <is>
          <t>CVT-207573</t>
        </is>
      </c>
      <c r="T61" s="9" t="inlineStr">
        <is>
          <t>EXP-2026-845957</t>
        </is>
      </c>
      <c r="U61" s="9" t="inlineStr">
        <is>
          <t>Y</t>
        </is>
      </c>
      <c r="V61" s="9" t="n">
        <v>3</v>
      </c>
      <c r="W61" s="9" t="inlineStr">
        <is>
          <t>Y</t>
        </is>
      </c>
      <c r="X61" s="9" t="inlineStr">
        <is>
          <t>Approved</t>
        </is>
      </c>
      <c r="Y61" s="10">
        <f>IF(OR(ISBLANK(A61), ISBLANK(D61), ISBLANK(E61)), "FAIL", "PASS")</f>
        <v/>
      </c>
      <c r="Z61" s="10">
        <f>IF(H61&lt;G61, "FAIL", "PASS")</f>
        <v/>
      </c>
      <c r="AA61" s="10">
        <f>IF(AND(O61&gt;0, S61=""), "FAIL", "PASS")</f>
        <v/>
      </c>
      <c r="AB61" s="10">
        <f>IF(AND(F61="US", O61&gt;0, P61=""), "FAIL", "PASS")</f>
        <v/>
      </c>
      <c r="AC61" s="10">
        <f>IF(AND(OR(M61="Amex_BTA_Ghost", M61="Single_Use_Virtual_Card"), N61="N"), "FAIL", "PASS")</f>
        <v/>
      </c>
      <c r="AD61" s="10">
        <f>IF(OR(U61="N", V61&gt;14), "FAIL", "PASS")</f>
        <v/>
      </c>
      <c r="AE61" s="10">
        <f>IF(J61&gt;25, "FAIL", "PASS")</f>
        <v/>
      </c>
      <c r="AF61" s="10">
        <f>IF(COUNTIF(Y61:AE61, "FAIL")=0, "CLEAN", "FLAGGED")</f>
        <v/>
      </c>
    </row>
    <row r="62">
      <c r="A62" s="9" t="inlineStr">
        <is>
          <t>MTG-2026-10056</t>
        </is>
      </c>
      <c r="B62" s="9" t="inlineStr">
        <is>
          <t>Immunology_Inflammation</t>
        </is>
      </c>
      <c r="C62" s="9" t="inlineStr">
        <is>
          <t>Internal_Sales_Rally</t>
        </is>
      </c>
      <c r="D62" s="9" t="inlineStr">
        <is>
          <t>CC-IMM-4102</t>
        </is>
      </c>
      <c r="E62" s="9" t="inlineStr">
        <is>
          <t>WBS-ONC-302-CLIN</t>
        </is>
      </c>
      <c r="F62" s="9" t="inlineStr">
        <is>
          <t>US</t>
        </is>
      </c>
      <c r="G62" s="9" t="inlineStr">
        <is>
          <t>2026-08-15</t>
        </is>
      </c>
      <c r="H62" s="9" t="inlineStr">
        <is>
          <t>2026-08-14</t>
        </is>
      </c>
      <c r="I62" s="9" t="n">
        <v>29</v>
      </c>
      <c r="J62" s="9" t="n">
        <v>-13.19</v>
      </c>
      <c r="K62" s="9" t="n">
        <v>115721.44</v>
      </c>
      <c r="L62" s="9" t="n">
        <v>133300</v>
      </c>
      <c r="M62" s="9" t="inlineStr">
        <is>
          <t>Single_Use_Virtual_Card</t>
        </is>
      </c>
      <c r="N62" s="9" t="inlineStr">
        <is>
          <t>Y</t>
        </is>
      </c>
      <c r="O62" s="9" t="n">
        <v>0</v>
      </c>
      <c r="P62" s="9" t="inlineStr"/>
      <c r="Q62" s="9" t="inlineStr">
        <is>
          <t>nan</t>
        </is>
      </c>
      <c r="R62" s="9" t="inlineStr">
        <is>
          <t>N</t>
        </is>
      </c>
      <c r="S62" s="9" t="inlineStr">
        <is>
          <t>CVT-127965</t>
        </is>
      </c>
      <c r="T62" s="9" t="inlineStr">
        <is>
          <t>EXP-2026-535050</t>
        </is>
      </c>
      <c r="U62" s="9" t="inlineStr">
        <is>
          <t>Y</t>
        </is>
      </c>
      <c r="V62" s="9" t="n">
        <v>10</v>
      </c>
      <c r="W62" s="9" t="inlineStr">
        <is>
          <t>N</t>
        </is>
      </c>
      <c r="X62" s="9" t="inlineStr">
        <is>
          <t>Approved</t>
        </is>
      </c>
      <c r="Y62" s="10">
        <f>IF(OR(ISBLANK(A62), ISBLANK(D62), ISBLANK(E62)), "FAIL", "PASS")</f>
        <v/>
      </c>
      <c r="Z62" s="10">
        <f>IF(H62&lt;G62, "FAIL", "PASS")</f>
        <v/>
      </c>
      <c r="AA62" s="10">
        <f>IF(AND(O62&gt;0, S62=""), "FAIL", "PASS")</f>
        <v/>
      </c>
      <c r="AB62" s="10">
        <f>IF(AND(F62="US", O62&gt;0, P62=""), "FAIL", "PASS")</f>
        <v/>
      </c>
      <c r="AC62" s="10">
        <f>IF(AND(OR(M62="Amex_BTA_Ghost", M62="Single_Use_Virtual_Card"), N62="N"), "FAIL", "PASS")</f>
        <v/>
      </c>
      <c r="AD62" s="10">
        <f>IF(OR(U62="N", V62&gt;14), "FAIL", "PASS")</f>
        <v/>
      </c>
      <c r="AE62" s="10">
        <f>IF(J62&gt;25, "FAIL", "PASS")</f>
        <v/>
      </c>
      <c r="AF62" s="10">
        <f>IF(COUNTIF(Y62:AE62, "FAIL")=0, "CLEAN", "FLAGGED")</f>
        <v/>
      </c>
    </row>
    <row r="63">
      <c r="A63" s="9" t="inlineStr">
        <is>
          <t>MTG-2026-10057</t>
        </is>
      </c>
      <c r="B63" s="9" t="inlineStr">
        <is>
          <t>Rare_Disease</t>
        </is>
      </c>
      <c r="C63" s="9" t="inlineStr">
        <is>
          <t>Advisory_Board</t>
        </is>
      </c>
      <c r="D63" s="9" t="inlineStr">
        <is>
          <t>CC-RD-9014</t>
        </is>
      </c>
      <c r="E63" s="9" t="inlineStr">
        <is>
          <t>WBS-RD-401-REG</t>
        </is>
      </c>
      <c r="F63" s="9" t="inlineStr">
        <is>
          <t>GB</t>
        </is>
      </c>
      <c r="G63" s="9" t="inlineStr">
        <is>
          <t>2026-09-10</t>
        </is>
      </c>
      <c r="H63" s="9" t="inlineStr">
        <is>
          <t>2026-09-11</t>
        </is>
      </c>
      <c r="I63" s="9" t="n">
        <v>60</v>
      </c>
      <c r="J63" s="9" t="n">
        <v>3.78</v>
      </c>
      <c r="K63" s="9" t="n">
        <v>91945.25999999999</v>
      </c>
      <c r="L63" s="9" t="n">
        <v>88600</v>
      </c>
      <c r="M63" s="9" t="inlineStr">
        <is>
          <t>Amex_BTA_Ghost</t>
        </is>
      </c>
      <c r="N63" s="9" t="inlineStr">
        <is>
          <t>Y</t>
        </is>
      </c>
      <c r="O63" s="9" t="n">
        <v>34</v>
      </c>
      <c r="P63" s="9" t="inlineStr">
        <is>
          <t>EFPIA-GB-829884;EFPIA-GB-971482;EFPIA-GB-245534;EFPIA-GB-895702;EFPIA-GB-839808;EFPIA-GB-591897;EFPIA-GB-570392;EFPIA-GB-745239;EFPIA-GB-105506;EFPIA-GB-183074;EFPIA-GB-119927;EFPIA-GB-368355;EFPIA-GB-326130;EFPIA-GB-975522;EFPIA-GB-256782;EFPIA-GB-675462;EFPIA-GB-862560;EFPIA-GB-738457;EFPIA-GB-653408;EFPIA-GB-543814;EFPIA-GB-216587;EFPIA-GB-913875;EFPIA-GB-402096;EFPIA-GB-349183;EFPIA-GB-415779;EFPIA-GB-227767;EFPIA-GB-150068;EFPIA-GB-350021;EFPIA-GB-540218;EFPIA-GB-769989;EFPIA-GB-932463;EFPIA-GB-753064;EFPIA-GB-579318;EFPIA-GB-165858</t>
        </is>
      </c>
      <c r="Q63" s="9" t="inlineStr">
        <is>
          <t>Y</t>
        </is>
      </c>
      <c r="R63" s="9" t="inlineStr">
        <is>
          <t>Y</t>
        </is>
      </c>
      <c r="S63" s="9" t="inlineStr">
        <is>
          <t>CVT-624108</t>
        </is>
      </c>
      <c r="T63" s="9" t="inlineStr">
        <is>
          <t>EXP-2026-725726</t>
        </is>
      </c>
      <c r="U63" s="9" t="inlineStr">
        <is>
          <t>Y</t>
        </is>
      </c>
      <c r="V63" s="9" t="n">
        <v>10</v>
      </c>
      <c r="W63" s="9" t="inlineStr">
        <is>
          <t>Y</t>
        </is>
      </c>
      <c r="X63" s="9" t="inlineStr">
        <is>
          <t>Approved</t>
        </is>
      </c>
      <c r="Y63" s="10">
        <f>IF(OR(ISBLANK(A63), ISBLANK(D63), ISBLANK(E63)), "FAIL", "PASS")</f>
        <v/>
      </c>
      <c r="Z63" s="10">
        <f>IF(H63&lt;G63, "FAIL", "PASS")</f>
        <v/>
      </c>
      <c r="AA63" s="10">
        <f>IF(AND(O63&gt;0, S63=""), "FAIL", "PASS")</f>
        <v/>
      </c>
      <c r="AB63" s="10">
        <f>IF(AND(F63="US", O63&gt;0, P63=""), "FAIL", "PASS")</f>
        <v/>
      </c>
      <c r="AC63" s="10">
        <f>IF(AND(OR(M63="Amex_BTA_Ghost", M63="Single_Use_Virtual_Card"), N63="N"), "FAIL", "PASS")</f>
        <v/>
      </c>
      <c r="AD63" s="10">
        <f>IF(OR(U63="N", V63&gt;14), "FAIL", "PASS")</f>
        <v/>
      </c>
      <c r="AE63" s="10">
        <f>IF(J63&gt;25, "FAIL", "PASS")</f>
        <v/>
      </c>
      <c r="AF63" s="10">
        <f>IF(COUNTIF(Y63:AE63, "FAIL")=0, "CLEAN", "FLAGGED")</f>
        <v/>
      </c>
    </row>
    <row r="64">
      <c r="A64" s="9" t="inlineStr">
        <is>
          <t>MTG-2026-10058</t>
        </is>
      </c>
      <c r="B64" s="9" t="inlineStr">
        <is>
          <t>Rare_Disease</t>
        </is>
      </c>
      <c r="C64" s="9" t="inlineStr">
        <is>
          <t>Advisory_Board</t>
        </is>
      </c>
      <c r="D64" s="9" t="inlineStr">
        <is>
          <t>CC-RD-9014</t>
        </is>
      </c>
      <c r="E64" s="9" t="inlineStr">
        <is>
          <t>WBS-RD-401-REG</t>
        </is>
      </c>
      <c r="F64" s="9" t="inlineStr">
        <is>
          <t>GB</t>
        </is>
      </c>
      <c r="G64" s="9" t="inlineStr">
        <is>
          <t>2026-05-04</t>
        </is>
      </c>
      <c r="H64" s="9" t="inlineStr">
        <is>
          <t>2026-05-05</t>
        </is>
      </c>
      <c r="I64" s="9" t="n">
        <v>63</v>
      </c>
      <c r="J64" s="9" t="n">
        <v>-0.21</v>
      </c>
      <c r="K64" s="9" t="n">
        <v>72445.17</v>
      </c>
      <c r="L64" s="9" t="n">
        <v>72600</v>
      </c>
      <c r="M64" s="9" t="inlineStr">
        <is>
          <t>Single_Use_Virtual_Card</t>
        </is>
      </c>
      <c r="N64" s="9" t="inlineStr">
        <is>
          <t>Y</t>
        </is>
      </c>
      <c r="O64" s="9" t="n">
        <v>9</v>
      </c>
      <c r="P64" s="9" t="inlineStr">
        <is>
          <t>EFPIA-GB-648913;EFPIA-GB-478120;EFPIA-GB-170966;EFPIA-GB-651613;EFPIA-GB-670511;EFPIA-GB-631971;EFPIA-GB-924613;EFPIA-GB-632280;EFPIA-GB-681070</t>
        </is>
      </c>
      <c r="Q64" s="9" t="inlineStr">
        <is>
          <t>Y</t>
        </is>
      </c>
      <c r="R64" s="9" t="inlineStr">
        <is>
          <t>Y</t>
        </is>
      </c>
      <c r="S64" s="9" t="inlineStr">
        <is>
          <t>CVT-592972</t>
        </is>
      </c>
      <c r="T64" s="9" t="inlineStr">
        <is>
          <t>EXP-2026-145649</t>
        </is>
      </c>
      <c r="U64" s="9" t="inlineStr">
        <is>
          <t>Y</t>
        </is>
      </c>
      <c r="V64" s="9" t="n">
        <v>7</v>
      </c>
      <c r="W64" s="9" t="inlineStr">
        <is>
          <t>Y</t>
        </is>
      </c>
      <c r="X64" s="9" t="inlineStr">
        <is>
          <t>Approved</t>
        </is>
      </c>
      <c r="Y64" s="10">
        <f>IF(OR(ISBLANK(A64), ISBLANK(D64), ISBLANK(E64)), "FAIL", "PASS")</f>
        <v/>
      </c>
      <c r="Z64" s="10">
        <f>IF(H64&lt;G64, "FAIL", "PASS")</f>
        <v/>
      </c>
      <c r="AA64" s="10">
        <f>IF(AND(O64&gt;0, S64=""), "FAIL", "PASS")</f>
        <v/>
      </c>
      <c r="AB64" s="10">
        <f>IF(AND(F64="US", O64&gt;0, P64=""), "FAIL", "PASS")</f>
        <v/>
      </c>
      <c r="AC64" s="10">
        <f>IF(AND(OR(M64="Amex_BTA_Ghost", M64="Single_Use_Virtual_Card"), N64="N"), "FAIL", "PASS")</f>
        <v/>
      </c>
      <c r="AD64" s="10">
        <f>IF(OR(U64="N", V64&gt;14), "FAIL", "PASS")</f>
        <v/>
      </c>
      <c r="AE64" s="10">
        <f>IF(J64&gt;25, "FAIL", "PASS")</f>
        <v/>
      </c>
      <c r="AF64" s="10">
        <f>IF(COUNTIF(Y64:AE64, "FAIL")=0, "CLEAN", "FLAGGED")</f>
        <v/>
      </c>
    </row>
    <row r="65">
      <c r="A65" s="9" t="inlineStr">
        <is>
          <t>MTG-2026-10059</t>
        </is>
      </c>
      <c r="B65" s="9" t="inlineStr">
        <is>
          <t>Rare_Disease</t>
        </is>
      </c>
      <c r="C65" s="9" t="inlineStr">
        <is>
          <t>Medical_Symposium</t>
        </is>
      </c>
      <c r="D65" s="9" t="inlineStr">
        <is>
          <t>CC-RD-9014</t>
        </is>
      </c>
      <c r="E65" s="9" t="inlineStr">
        <is>
          <t>WBS-RD-401-REG</t>
        </is>
      </c>
      <c r="F65" s="9" t="inlineStr">
        <is>
          <t>US</t>
        </is>
      </c>
      <c r="G65" s="9" t="inlineStr">
        <is>
          <t>2026-03-17</t>
        </is>
      </c>
      <c r="H65" s="9" t="inlineStr">
        <is>
          <t>2026-03-18</t>
        </is>
      </c>
      <c r="I65" s="9" t="n">
        <v>60</v>
      </c>
      <c r="J65" s="9" t="n">
        <v>4.76</v>
      </c>
      <c r="K65" s="9" t="n">
        <v>190985.89</v>
      </c>
      <c r="L65" s="9" t="n">
        <v>182300</v>
      </c>
      <c r="M65" s="9" t="inlineStr">
        <is>
          <t>Amex_BTA_Ghost</t>
        </is>
      </c>
      <c r="N65" s="9" t="inlineStr">
        <is>
          <t>Y</t>
        </is>
      </c>
      <c r="O65" s="9" t="n">
        <v>15</v>
      </c>
      <c r="P65" s="9" t="inlineStr">
        <is>
          <t>1991617660;1936597989;1835172306;1598885034;1846668526;1613818935;1778321204;1295719504;1971339002;1244796859;1167753684;1868847524;1933428091;1591429705;1139711044</t>
        </is>
      </c>
      <c r="Q65" s="9" t="inlineStr">
        <is>
          <t>Y</t>
        </is>
      </c>
      <c r="R65" s="9" t="inlineStr">
        <is>
          <t>N</t>
        </is>
      </c>
      <c r="S65" s="9" t="inlineStr">
        <is>
          <t>CVT-145934</t>
        </is>
      </c>
      <c r="T65" s="9" t="inlineStr">
        <is>
          <t>EXP-2026-929538</t>
        </is>
      </c>
      <c r="U65" s="9" t="inlineStr">
        <is>
          <t>Y</t>
        </is>
      </c>
      <c r="V65" s="9" t="n">
        <v>2</v>
      </c>
      <c r="W65" s="9" t="inlineStr">
        <is>
          <t>Y</t>
        </is>
      </c>
      <c r="X65" s="9" t="inlineStr">
        <is>
          <t>Approved</t>
        </is>
      </c>
      <c r="Y65" s="10">
        <f>IF(OR(ISBLANK(A65), ISBLANK(D65), ISBLANK(E65)), "FAIL", "PASS")</f>
        <v/>
      </c>
      <c r="Z65" s="10">
        <f>IF(H65&lt;G65, "FAIL", "PASS")</f>
        <v/>
      </c>
      <c r="AA65" s="10">
        <f>IF(AND(O65&gt;0, S65=""), "FAIL", "PASS")</f>
        <v/>
      </c>
      <c r="AB65" s="10">
        <f>IF(AND(F65="US", O65&gt;0, P65=""), "FAIL", "PASS")</f>
        <v/>
      </c>
      <c r="AC65" s="10">
        <f>IF(AND(OR(M65="Amex_BTA_Ghost", M65="Single_Use_Virtual_Card"), N65="N"), "FAIL", "PASS")</f>
        <v/>
      </c>
      <c r="AD65" s="10">
        <f>IF(OR(U65="N", V65&gt;14), "FAIL", "PASS")</f>
        <v/>
      </c>
      <c r="AE65" s="10">
        <f>IF(J65&gt;25, "FAIL", "PASS")</f>
        <v/>
      </c>
      <c r="AF65" s="10">
        <f>IF(COUNTIF(Y65:AE65, "FAIL")=0, "CLEAN", "FLAGGED")</f>
        <v/>
      </c>
    </row>
    <row r="66">
      <c r="A66" s="9" t="inlineStr">
        <is>
          <t>MTG-2026-10060</t>
        </is>
      </c>
      <c r="B66" s="9" t="inlineStr">
        <is>
          <t>Vaccines_Infectious</t>
        </is>
      </c>
      <c r="C66" s="9" t="inlineStr">
        <is>
          <t>Investigator_Meeting</t>
        </is>
      </c>
      <c r="D66" s="9" t="inlineStr">
        <is>
          <t>CC-VAC-6311</t>
        </is>
      </c>
      <c r="E66" s="9" t="inlineStr">
        <is>
          <t>WBS-VAC-205-GLB</t>
        </is>
      </c>
      <c r="F66" s="9" t="inlineStr">
        <is>
          <t>CH</t>
        </is>
      </c>
      <c r="G66" s="9" t="inlineStr">
        <is>
          <t>2026-03-20</t>
        </is>
      </c>
      <c r="H66" s="9" t="inlineStr">
        <is>
          <t>2026-03-21</t>
        </is>
      </c>
      <c r="I66" s="9" t="n">
        <v>42</v>
      </c>
      <c r="J66" s="9" t="n">
        <v>12.91</v>
      </c>
      <c r="K66" s="9" t="n">
        <v>160441.19</v>
      </c>
      <c r="L66" s="9" t="n">
        <v>142100</v>
      </c>
      <c r="M66" s="9" t="inlineStr">
        <is>
          <t>Single_Use_Virtual_Card</t>
        </is>
      </c>
      <c r="N66" s="9" t="inlineStr">
        <is>
          <t>Y</t>
        </is>
      </c>
      <c r="O66" s="9" t="n">
        <v>25</v>
      </c>
      <c r="P66" s="9" t="inlineStr">
        <is>
          <t>EFPIA-CH-386488;EFPIA-CH-230521;EFPIA-CH-938171;EFPIA-CH-485896;EFPIA-CH-558176;EFPIA-CH-519453;EFPIA-CH-879414;EFPIA-CH-561097;EFPIA-CH-505426;EFPIA-CH-455505;EFPIA-CH-295892;EFPIA-CH-620306;EFPIA-CH-825686;EFPIA-CH-621691;EFPIA-CH-485191;EFPIA-CH-936020;EFPIA-CH-644500;EFPIA-CH-379676;EFPIA-CH-940064;EFPIA-CH-186624;EFPIA-CH-862400;EFPIA-CH-545120;EFPIA-CH-182760;EFPIA-CH-551524;EFPIA-CH-731718</t>
        </is>
      </c>
      <c r="Q66" s="9" t="inlineStr">
        <is>
          <t>Y</t>
        </is>
      </c>
      <c r="R66" s="9" t="inlineStr">
        <is>
          <t>N</t>
        </is>
      </c>
      <c r="S66" s="9" t="inlineStr">
        <is>
          <t>CVT-289222</t>
        </is>
      </c>
      <c r="T66" s="9" t="inlineStr">
        <is>
          <t>EXP-2026-671971</t>
        </is>
      </c>
      <c r="U66" s="9" t="inlineStr">
        <is>
          <t>Y</t>
        </is>
      </c>
      <c r="V66" s="9" t="n">
        <v>3</v>
      </c>
      <c r="W66" s="9" t="inlineStr">
        <is>
          <t>Y</t>
        </is>
      </c>
      <c r="X66" s="9" t="inlineStr">
        <is>
          <t>Approved</t>
        </is>
      </c>
      <c r="Y66" s="10">
        <f>IF(OR(ISBLANK(A66), ISBLANK(D66), ISBLANK(E66)), "FAIL", "PASS")</f>
        <v/>
      </c>
      <c r="Z66" s="10">
        <f>IF(H66&lt;G66, "FAIL", "PASS")</f>
        <v/>
      </c>
      <c r="AA66" s="10">
        <f>IF(AND(O66&gt;0, S66=""), "FAIL", "PASS")</f>
        <v/>
      </c>
      <c r="AB66" s="10">
        <f>IF(AND(F66="US", O66&gt;0, P66=""), "FAIL", "PASS")</f>
        <v/>
      </c>
      <c r="AC66" s="10">
        <f>IF(AND(OR(M66="Amex_BTA_Ghost", M66="Single_Use_Virtual_Card"), N66="N"), "FAIL", "PASS")</f>
        <v/>
      </c>
      <c r="AD66" s="10">
        <f>IF(OR(U66="N", V66&gt;14), "FAIL", "PASS")</f>
        <v/>
      </c>
      <c r="AE66" s="10">
        <f>IF(J66&gt;25, "FAIL", "PASS")</f>
        <v/>
      </c>
      <c r="AF66" s="10">
        <f>IF(COUNTIF(Y66:AE66, "FAIL")=0, "CLEAN", "FLAGGED")</f>
        <v/>
      </c>
    </row>
    <row r="67">
      <c r="A67" s="9" t="inlineStr">
        <is>
          <t>MTG-2026-10061</t>
        </is>
      </c>
      <c r="B67" s="9" t="inlineStr">
        <is>
          <t>Vaccines_Infectious</t>
        </is>
      </c>
      <c r="C67" s="9" t="inlineStr">
        <is>
          <t>Investigator_Meeting</t>
        </is>
      </c>
      <c r="D67" s="9" t="inlineStr">
        <is>
          <t>CC-VAC-6311</t>
        </is>
      </c>
      <c r="E67" s="9" t="inlineStr">
        <is>
          <t>WBS-VAC-205-GLB</t>
        </is>
      </c>
      <c r="F67" s="9" t="inlineStr">
        <is>
          <t>US</t>
        </is>
      </c>
      <c r="G67" s="9" t="inlineStr">
        <is>
          <t>2026-02-26</t>
        </is>
      </c>
      <c r="H67" s="9" t="inlineStr">
        <is>
          <t>2026-03-02</t>
        </is>
      </c>
      <c r="I67" s="9" t="n">
        <v>62</v>
      </c>
      <c r="J67" s="9" t="n">
        <v>6.25</v>
      </c>
      <c r="K67" s="9" t="n">
        <v>308125.93</v>
      </c>
      <c r="L67" s="9" t="n">
        <v>290000</v>
      </c>
      <c r="M67" s="9" t="inlineStr">
        <is>
          <t>Direct_Invoice_PO</t>
        </is>
      </c>
      <c r="N67" s="9" t="inlineStr">
        <is>
          <t>Y</t>
        </is>
      </c>
      <c r="O67" s="9" t="n">
        <v>26</v>
      </c>
      <c r="P67" s="9" t="inlineStr">
        <is>
          <t>1760191749;1567013808;1394801573;1786624943;1949842840;1161587757;1180574838;1820678212;1784523874;1536164913;1490102359;1650921917;1960170255;1905196831;1829511584;1271784435;1133436988;1253308283;1752376434;1828092377;1938927341;1570484488;1137365109;1235538456;1172191273;1353398109</t>
        </is>
      </c>
      <c r="Q67" s="9" t="inlineStr">
        <is>
          <t>Y</t>
        </is>
      </c>
      <c r="R67" s="9" t="inlineStr">
        <is>
          <t>N</t>
        </is>
      </c>
      <c r="S67" s="9" t="inlineStr">
        <is>
          <t>CVT-484123</t>
        </is>
      </c>
      <c r="T67" s="9" t="inlineStr">
        <is>
          <t>EXP-2026-479742</t>
        </is>
      </c>
      <c r="U67" s="9" t="inlineStr">
        <is>
          <t>Y</t>
        </is>
      </c>
      <c r="V67" s="9" t="n">
        <v>11</v>
      </c>
      <c r="W67" s="9" t="inlineStr">
        <is>
          <t>Y</t>
        </is>
      </c>
      <c r="X67" s="9" t="inlineStr">
        <is>
          <t>Approved</t>
        </is>
      </c>
      <c r="Y67" s="10">
        <f>IF(OR(ISBLANK(A67), ISBLANK(D67), ISBLANK(E67)), "FAIL", "PASS")</f>
        <v/>
      </c>
      <c r="Z67" s="10">
        <f>IF(H67&lt;G67, "FAIL", "PASS")</f>
        <v/>
      </c>
      <c r="AA67" s="10">
        <f>IF(AND(O67&gt;0, S67=""), "FAIL", "PASS")</f>
        <v/>
      </c>
      <c r="AB67" s="10">
        <f>IF(AND(F67="US", O67&gt;0, P67=""), "FAIL", "PASS")</f>
        <v/>
      </c>
      <c r="AC67" s="10">
        <f>IF(AND(OR(M67="Amex_BTA_Ghost", M67="Single_Use_Virtual_Card"), N67="N"), "FAIL", "PASS")</f>
        <v/>
      </c>
      <c r="AD67" s="10">
        <f>IF(OR(U67="N", V67&gt;14), "FAIL", "PASS")</f>
        <v/>
      </c>
      <c r="AE67" s="10">
        <f>IF(J67&gt;25, "FAIL", "PASS")</f>
        <v/>
      </c>
      <c r="AF67" s="10">
        <f>IF(COUNTIF(Y67:AE67, "FAIL")=0, "CLEAN", "FLAGGED")</f>
        <v/>
      </c>
    </row>
    <row r="68">
      <c r="A68" s="9" t="inlineStr">
        <is>
          <t>MTG-2026-10062</t>
        </is>
      </c>
      <c r="B68" s="9" t="inlineStr">
        <is>
          <t>Rare_Disease</t>
        </is>
      </c>
      <c r="C68" s="9" t="inlineStr">
        <is>
          <t>Internal_Sales_Rally</t>
        </is>
      </c>
      <c r="D68" s="9" t="inlineStr">
        <is>
          <t>CC-RD-9014</t>
        </is>
      </c>
      <c r="E68" s="9" t="inlineStr">
        <is>
          <t>WBS-RD-401-REG</t>
        </is>
      </c>
      <c r="F68" s="9" t="inlineStr">
        <is>
          <t>US</t>
        </is>
      </c>
      <c r="G68" s="9" t="inlineStr">
        <is>
          <t>2026-04-20</t>
        </is>
      </c>
      <c r="H68" s="9" t="inlineStr">
        <is>
          <t>2026-04-24</t>
        </is>
      </c>
      <c r="I68" s="9" t="n">
        <v>27</v>
      </c>
      <c r="J68" s="9" t="n">
        <v>7.82</v>
      </c>
      <c r="K68" s="9" t="n">
        <v>137043.27</v>
      </c>
      <c r="L68" s="9" t="n">
        <v>127100</v>
      </c>
      <c r="M68" s="9" t="inlineStr">
        <is>
          <t>Amex_BTA_Ghost</t>
        </is>
      </c>
      <c r="N68" s="9" t="inlineStr">
        <is>
          <t>Y</t>
        </is>
      </c>
      <c r="O68" s="9" t="n">
        <v>0</v>
      </c>
      <c r="P68" s="9" t="inlineStr"/>
      <c r="Q68" s="9" t="inlineStr">
        <is>
          <t>nan</t>
        </is>
      </c>
      <c r="R68" s="9" t="inlineStr">
        <is>
          <t>N</t>
        </is>
      </c>
      <c r="S68" s="9" t="inlineStr">
        <is>
          <t>CVT-429657</t>
        </is>
      </c>
      <c r="T68" s="9" t="inlineStr">
        <is>
          <t>EXP-2026-781113</t>
        </is>
      </c>
      <c r="U68" s="9" t="inlineStr">
        <is>
          <t>Y</t>
        </is>
      </c>
      <c r="V68" s="9" t="n">
        <v>3</v>
      </c>
      <c r="W68" s="9" t="inlineStr">
        <is>
          <t>N</t>
        </is>
      </c>
      <c r="X68" s="9" t="inlineStr">
        <is>
          <t>Approved</t>
        </is>
      </c>
      <c r="Y68" s="10">
        <f>IF(OR(ISBLANK(A68), ISBLANK(D68), ISBLANK(E68)), "FAIL", "PASS")</f>
        <v/>
      </c>
      <c r="Z68" s="10">
        <f>IF(H68&lt;G68, "FAIL", "PASS")</f>
        <v/>
      </c>
      <c r="AA68" s="10">
        <f>IF(AND(O68&gt;0, S68=""), "FAIL", "PASS")</f>
        <v/>
      </c>
      <c r="AB68" s="10">
        <f>IF(AND(F68="US", O68&gt;0, P68=""), "FAIL", "PASS")</f>
        <v/>
      </c>
      <c r="AC68" s="10">
        <f>IF(AND(OR(M68="Amex_BTA_Ghost", M68="Single_Use_Virtual_Card"), N68="N"), "FAIL", "PASS")</f>
        <v/>
      </c>
      <c r="AD68" s="10">
        <f>IF(OR(U68="N", V68&gt;14), "FAIL", "PASS")</f>
        <v/>
      </c>
      <c r="AE68" s="10">
        <f>IF(J68&gt;25, "FAIL", "PASS")</f>
        <v/>
      </c>
      <c r="AF68" s="10">
        <f>IF(COUNTIF(Y68:AE68, "FAIL")=0, "CLEAN", "FLAGGED")</f>
        <v/>
      </c>
    </row>
    <row r="69">
      <c r="A69" s="9" t="inlineStr">
        <is>
          <t>MTG-2026-10063</t>
        </is>
      </c>
      <c r="B69" s="9" t="inlineStr">
        <is>
          <t>Oncology</t>
        </is>
      </c>
      <c r="C69" s="9" t="inlineStr">
        <is>
          <t>Commercial_Launch</t>
        </is>
      </c>
      <c r="D69" s="9" t="inlineStr">
        <is>
          <t>CC-ONC-8821</t>
        </is>
      </c>
      <c r="E69" s="9" t="inlineStr">
        <is>
          <t>WBS-ONC-302-CLIN</t>
        </is>
      </c>
      <c r="F69" s="9" t="inlineStr">
        <is>
          <t>GB</t>
        </is>
      </c>
      <c r="G69" s="9" t="inlineStr">
        <is>
          <t>2026-03-23</t>
        </is>
      </c>
      <c r="H69" s="9" t="inlineStr">
        <is>
          <t>2026-03-26</t>
        </is>
      </c>
      <c r="I69" s="9" t="n">
        <v>75</v>
      </c>
      <c r="J69" s="9" t="n">
        <v>1.85</v>
      </c>
      <c r="K69" s="9" t="n">
        <v>319096.59</v>
      </c>
      <c r="L69" s="9" t="n">
        <v>313300</v>
      </c>
      <c r="M69" s="9" t="inlineStr">
        <is>
          <t>Amex_BTA_Ghost</t>
        </is>
      </c>
      <c r="N69" s="9" t="inlineStr">
        <is>
          <t>Y</t>
        </is>
      </c>
      <c r="O69" s="9" t="n">
        <v>35</v>
      </c>
      <c r="P69" s="9" t="inlineStr">
        <is>
          <t>EFPIA-GB-309902;EFPIA-GB-228594;EFPIA-GB-242321;EFPIA-GB-994253;EFPIA-GB-177649;EFPIA-GB-574001;EFPIA-GB-281043;EFPIA-GB-848022;EFPIA-GB-566732;EFPIA-GB-192055;EFPIA-GB-949884;EFPIA-GB-815054;EFPIA-GB-986593;EFPIA-GB-435112;EFPIA-GB-800280;EFPIA-GB-464301;EFPIA-GB-844007;EFPIA-GB-168093;EFPIA-GB-676713;EFPIA-GB-668507;EFPIA-GB-404466;EFPIA-GB-414527;EFPIA-GB-992717;EFPIA-GB-265156;EFPIA-GB-846385;EFPIA-GB-844031;EFPIA-GB-834233;EFPIA-GB-768676;EFPIA-GB-282547;EFPIA-GB-932250;EFPIA-GB-479052;EFPIA-GB-633469;EFPIA-GB-335134;EFPIA-GB-227257;EFPIA-GB-310743</t>
        </is>
      </c>
      <c r="Q69" s="9" t="inlineStr">
        <is>
          <t>Y</t>
        </is>
      </c>
      <c r="R69" s="9" t="inlineStr">
        <is>
          <t>N</t>
        </is>
      </c>
      <c r="S69" s="9" t="inlineStr">
        <is>
          <t>CVT-348235</t>
        </is>
      </c>
      <c r="T69" s="9" t="inlineStr">
        <is>
          <t>EXP-2026-928766</t>
        </is>
      </c>
      <c r="U69" s="9" t="inlineStr">
        <is>
          <t>Y</t>
        </is>
      </c>
      <c r="V69" s="9" t="n">
        <v>7</v>
      </c>
      <c r="W69" s="9" t="inlineStr">
        <is>
          <t>Y</t>
        </is>
      </c>
      <c r="X69" s="9" t="inlineStr">
        <is>
          <t>Approved</t>
        </is>
      </c>
      <c r="Y69" s="10">
        <f>IF(OR(ISBLANK(A69), ISBLANK(D69), ISBLANK(E69)), "FAIL", "PASS")</f>
        <v/>
      </c>
      <c r="Z69" s="10">
        <f>IF(H69&lt;G69, "FAIL", "PASS")</f>
        <v/>
      </c>
      <c r="AA69" s="10">
        <f>IF(AND(O69&gt;0, S69=""), "FAIL", "PASS")</f>
        <v/>
      </c>
      <c r="AB69" s="10">
        <f>IF(AND(F69="US", O69&gt;0, P69=""), "FAIL", "PASS")</f>
        <v/>
      </c>
      <c r="AC69" s="10">
        <f>IF(AND(OR(M69="Amex_BTA_Ghost", M69="Single_Use_Virtual_Card"), N69="N"), "FAIL", "PASS")</f>
        <v/>
      </c>
      <c r="AD69" s="10">
        <f>IF(OR(U69="N", V69&gt;14), "FAIL", "PASS")</f>
        <v/>
      </c>
      <c r="AE69" s="10">
        <f>IF(J69&gt;25, "FAIL", "PASS")</f>
        <v/>
      </c>
      <c r="AF69" s="10">
        <f>IF(COUNTIF(Y69:AE69, "FAIL")=0, "CLEAN", "FLAGGED")</f>
        <v/>
      </c>
    </row>
    <row r="70">
      <c r="A70" s="9" t="inlineStr">
        <is>
          <t>MTG-2026-10064</t>
        </is>
      </c>
      <c r="B70" s="9" t="inlineStr">
        <is>
          <t>Immunology_Inflammation</t>
        </is>
      </c>
      <c r="C70" s="9" t="inlineStr">
        <is>
          <t>Advisory_Board</t>
        </is>
      </c>
      <c r="D70" s="9" t="inlineStr">
        <is>
          <t>CC-IMM-4102</t>
        </is>
      </c>
      <c r="E70" s="9" t="inlineStr">
        <is>
          <t>WBS-IMM-108-PH3</t>
        </is>
      </c>
      <c r="F70" s="9" t="inlineStr">
        <is>
          <t>US</t>
        </is>
      </c>
      <c r="G70" s="9" t="inlineStr">
        <is>
          <t>2026-06-20</t>
        </is>
      </c>
      <c r="H70" s="9" t="inlineStr">
        <is>
          <t>2026-06-21</t>
        </is>
      </c>
      <c r="I70" s="9" t="n">
        <v>26</v>
      </c>
      <c r="J70" s="9" t="n">
        <v>9.59</v>
      </c>
      <c r="K70" s="9" t="n">
        <v>63452.12</v>
      </c>
      <c r="L70" s="9" t="n">
        <v>57900</v>
      </c>
      <c r="M70" s="9" t="inlineStr">
        <is>
          <t>Corporate_T&amp;E_Card</t>
        </is>
      </c>
      <c r="N70" s="9" t="inlineStr">
        <is>
          <t>Y</t>
        </is>
      </c>
      <c r="O70" s="9" t="n">
        <v>34</v>
      </c>
      <c r="P70" s="9" t="inlineStr">
        <is>
          <t>1664461415;1541087900;1925884151;1539625898;1984053945;1717294720;1179189225;1234568604;1440405868;1789705810;1179634081;1583156434;1600184588;1830261466;1655511084;1469919929;1237798236;1990189659;1937800943;1691957561;1786973497;1731130400;1295381429;1924399252;1238548086;1564520346;1639945876;1159499094;1992699085;1233316990;1656307931;1264299106;1426551245;1276799196</t>
        </is>
      </c>
      <c r="Q70" s="9" t="inlineStr">
        <is>
          <t>Y</t>
        </is>
      </c>
      <c r="R70" s="9" t="inlineStr">
        <is>
          <t>Y</t>
        </is>
      </c>
      <c r="S70" s="9" t="inlineStr">
        <is>
          <t>CVT-843788</t>
        </is>
      </c>
      <c r="T70" s="9" t="inlineStr">
        <is>
          <t>EXP-2026-336422</t>
        </is>
      </c>
      <c r="U70" s="9" t="inlineStr">
        <is>
          <t>Y</t>
        </is>
      </c>
      <c r="V70" s="9" t="n">
        <v>10</v>
      </c>
      <c r="W70" s="9" t="inlineStr">
        <is>
          <t>Y</t>
        </is>
      </c>
      <c r="X70" s="9" t="inlineStr">
        <is>
          <t>Approved</t>
        </is>
      </c>
      <c r="Y70" s="10">
        <f>IF(OR(ISBLANK(A70), ISBLANK(D70), ISBLANK(E70)), "FAIL", "PASS")</f>
        <v/>
      </c>
      <c r="Z70" s="10">
        <f>IF(H70&lt;G70, "FAIL", "PASS")</f>
        <v/>
      </c>
      <c r="AA70" s="10">
        <f>IF(AND(O70&gt;0, S70=""), "FAIL", "PASS")</f>
        <v/>
      </c>
      <c r="AB70" s="10">
        <f>IF(AND(F70="US", O70&gt;0, P70=""), "FAIL", "PASS")</f>
        <v/>
      </c>
      <c r="AC70" s="10">
        <f>IF(AND(OR(M70="Amex_BTA_Ghost", M70="Single_Use_Virtual_Card"), N70="N"), "FAIL", "PASS")</f>
        <v/>
      </c>
      <c r="AD70" s="10">
        <f>IF(OR(U70="N", V70&gt;14), "FAIL", "PASS")</f>
        <v/>
      </c>
      <c r="AE70" s="10">
        <f>IF(J70&gt;25, "FAIL", "PASS")</f>
        <v/>
      </c>
      <c r="AF70" s="10">
        <f>IF(COUNTIF(Y70:AE70, "FAIL")=0, "CLEAN", "FLAGGED")</f>
        <v/>
      </c>
    </row>
    <row r="71">
      <c r="A71" s="9" t="inlineStr">
        <is>
          <t>MTG-2026-10065</t>
        </is>
      </c>
      <c r="B71" s="9" t="inlineStr">
        <is>
          <t>Rare_Disease</t>
        </is>
      </c>
      <c r="C71" s="9" t="inlineStr">
        <is>
          <t>Internal_Sales_Rally</t>
        </is>
      </c>
      <c r="D71" s="9" t="inlineStr">
        <is>
          <t>CC-RD-9014</t>
        </is>
      </c>
      <c r="E71" s="9" t="inlineStr">
        <is>
          <t>WBS-RD-401-REG</t>
        </is>
      </c>
      <c r="F71" s="9" t="inlineStr">
        <is>
          <t>DE</t>
        </is>
      </c>
      <c r="G71" s="9" t="inlineStr">
        <is>
          <t>2026-03-06</t>
        </is>
      </c>
      <c r="H71" s="9" t="inlineStr">
        <is>
          <t>2026-03-09</t>
        </is>
      </c>
      <c r="I71" s="9" t="n">
        <v>34</v>
      </c>
      <c r="J71" s="9" t="n">
        <v>11.34</v>
      </c>
      <c r="K71" s="9" t="n">
        <v>110115.04</v>
      </c>
      <c r="L71" s="9" t="n">
        <v>98900</v>
      </c>
      <c r="M71" s="9" t="inlineStr">
        <is>
          <t>Single_Use_Virtual_Card</t>
        </is>
      </c>
      <c r="N71" s="9" t="inlineStr">
        <is>
          <t>Y</t>
        </is>
      </c>
      <c r="O71" s="9" t="n">
        <v>0</v>
      </c>
      <c r="P71" s="9" t="inlineStr"/>
      <c r="Q71" s="9" t="inlineStr">
        <is>
          <t>nan</t>
        </is>
      </c>
      <c r="R71" s="9" t="inlineStr">
        <is>
          <t>N</t>
        </is>
      </c>
      <c r="S71" s="9" t="inlineStr">
        <is>
          <t>CVT-626986</t>
        </is>
      </c>
      <c r="T71" s="9" t="inlineStr">
        <is>
          <t>EXP-2026-772124</t>
        </is>
      </c>
      <c r="U71" s="9" t="inlineStr">
        <is>
          <t>Y</t>
        </is>
      </c>
      <c r="V71" s="9" t="n">
        <v>11</v>
      </c>
      <c r="W71" s="9" t="inlineStr">
        <is>
          <t>N</t>
        </is>
      </c>
      <c r="X71" s="9" t="inlineStr">
        <is>
          <t>Approved</t>
        </is>
      </c>
      <c r="Y71" s="10">
        <f>IF(OR(ISBLANK(A71), ISBLANK(D71), ISBLANK(E71)), "FAIL", "PASS")</f>
        <v/>
      </c>
      <c r="Z71" s="10">
        <f>IF(H71&lt;G71, "FAIL", "PASS")</f>
        <v/>
      </c>
      <c r="AA71" s="10">
        <f>IF(AND(O71&gt;0, S71=""), "FAIL", "PASS")</f>
        <v/>
      </c>
      <c r="AB71" s="10">
        <f>IF(AND(F71="US", O71&gt;0, P71=""), "FAIL", "PASS")</f>
        <v/>
      </c>
      <c r="AC71" s="10">
        <f>IF(AND(OR(M71="Amex_BTA_Ghost", M71="Single_Use_Virtual_Card"), N71="N"), "FAIL", "PASS")</f>
        <v/>
      </c>
      <c r="AD71" s="10">
        <f>IF(OR(U71="N", V71&gt;14), "FAIL", "PASS")</f>
        <v/>
      </c>
      <c r="AE71" s="10">
        <f>IF(J71&gt;25, "FAIL", "PASS")</f>
        <v/>
      </c>
      <c r="AF71" s="10">
        <f>IF(COUNTIF(Y71:AE71, "FAIL")=0, "CLEAN", "FLAGGED")</f>
        <v/>
      </c>
    </row>
    <row r="72">
      <c r="A72" s="9" t="inlineStr">
        <is>
          <t>MTG-2026-10066</t>
        </is>
      </c>
      <c r="B72" s="9" t="inlineStr">
        <is>
          <t>Rare_Disease</t>
        </is>
      </c>
      <c r="C72" s="9" t="inlineStr">
        <is>
          <t>Investigator_Meeting</t>
        </is>
      </c>
      <c r="D72" s="9" t="inlineStr">
        <is>
          <t>CC-RD-9014</t>
        </is>
      </c>
      <c r="E72" s="9" t="inlineStr">
        <is>
          <t>WBS-RD-401-REG</t>
        </is>
      </c>
      <c r="F72" s="9" t="inlineStr">
        <is>
          <t>DE</t>
        </is>
      </c>
      <c r="G72" s="9" t="inlineStr">
        <is>
          <t>2026-08-18</t>
        </is>
      </c>
      <c r="H72" s="9" t="inlineStr">
        <is>
          <t>2026-08-19</t>
        </is>
      </c>
      <c r="I72" s="9" t="n">
        <v>21</v>
      </c>
      <c r="J72" s="9" t="n">
        <v>5.23</v>
      </c>
      <c r="K72" s="9" t="n">
        <v>275699.03</v>
      </c>
      <c r="L72" s="9" t="n">
        <v>262000</v>
      </c>
      <c r="M72" s="9" t="inlineStr">
        <is>
          <t>Corporate_T&amp;E_Card</t>
        </is>
      </c>
      <c r="N72" s="9" t="inlineStr">
        <is>
          <t>Y</t>
        </is>
      </c>
      <c r="O72" s="9" t="n">
        <v>20</v>
      </c>
      <c r="P72" s="9" t="inlineStr">
        <is>
          <t>EFPIA-DE-782759;EFPIA-DE-321048;EFPIA-DE-904214;EFPIA-DE-699929;EFPIA-DE-536822;EFPIA-DE-748133;EFPIA-DE-770030;EFPIA-DE-131757;EFPIA-DE-622230;EFPIA-DE-757629;EFPIA-DE-672079;EFPIA-DE-403742;EFPIA-DE-773088;EFPIA-DE-416768;EFPIA-DE-606404;EFPIA-DE-356773;EFPIA-DE-943776;EFPIA-DE-946567;EFPIA-DE-818264;EFPIA-DE-525818</t>
        </is>
      </c>
      <c r="Q72" s="9" t="inlineStr">
        <is>
          <t>Y</t>
        </is>
      </c>
      <c r="R72" s="9" t="inlineStr">
        <is>
          <t>N</t>
        </is>
      </c>
      <c r="S72" s="9" t="inlineStr">
        <is>
          <t>CVT-176517</t>
        </is>
      </c>
      <c r="T72" s="9" t="inlineStr">
        <is>
          <t>EXP-2026-822063</t>
        </is>
      </c>
      <c r="U72" s="9" t="inlineStr">
        <is>
          <t>Y</t>
        </is>
      </c>
      <c r="V72" s="9" t="n">
        <v>9</v>
      </c>
      <c r="W72" s="9" t="inlineStr">
        <is>
          <t>Y</t>
        </is>
      </c>
      <c r="X72" s="9" t="inlineStr">
        <is>
          <t>Approved</t>
        </is>
      </c>
      <c r="Y72" s="10">
        <f>IF(OR(ISBLANK(A72), ISBLANK(D72), ISBLANK(E72)), "FAIL", "PASS")</f>
        <v/>
      </c>
      <c r="Z72" s="10">
        <f>IF(H72&lt;G72, "FAIL", "PASS")</f>
        <v/>
      </c>
      <c r="AA72" s="10">
        <f>IF(AND(O72&gt;0, S72=""), "FAIL", "PASS")</f>
        <v/>
      </c>
      <c r="AB72" s="10">
        <f>IF(AND(F72="US", O72&gt;0, P72=""), "FAIL", "PASS")</f>
        <v/>
      </c>
      <c r="AC72" s="10">
        <f>IF(AND(OR(M72="Amex_BTA_Ghost", M72="Single_Use_Virtual_Card"), N72="N"), "FAIL", "PASS")</f>
        <v/>
      </c>
      <c r="AD72" s="10">
        <f>IF(OR(U72="N", V72&gt;14), "FAIL", "PASS")</f>
        <v/>
      </c>
      <c r="AE72" s="10">
        <f>IF(J72&gt;25, "FAIL", "PASS")</f>
        <v/>
      </c>
      <c r="AF72" s="10">
        <f>IF(COUNTIF(Y72:AE72, "FAIL")=0, "CLEAN", "FLAGGED")</f>
        <v/>
      </c>
    </row>
    <row r="73">
      <c r="A73" s="9" t="inlineStr">
        <is>
          <t>MTG-2026-10067</t>
        </is>
      </c>
      <c r="B73" s="9" t="inlineStr">
        <is>
          <t>Immunology_Inflammation</t>
        </is>
      </c>
      <c r="C73" s="9" t="inlineStr">
        <is>
          <t>Internal_Sales_Rally</t>
        </is>
      </c>
      <c r="D73" s="9" t="inlineStr">
        <is>
          <t>CC-IMM-4102</t>
        </is>
      </c>
      <c r="E73" s="9" t="inlineStr">
        <is>
          <t>WBS-RD-401-REG</t>
        </is>
      </c>
      <c r="F73" s="9" t="inlineStr">
        <is>
          <t>FR</t>
        </is>
      </c>
      <c r="G73" s="9" t="inlineStr">
        <is>
          <t>2026-04-05</t>
        </is>
      </c>
      <c r="H73" s="9" t="inlineStr">
        <is>
          <t>2026-04-08</t>
        </is>
      </c>
      <c r="I73" s="9" t="n">
        <v>62</v>
      </c>
      <c r="J73" s="9" t="n">
        <v>7.64</v>
      </c>
      <c r="K73" s="9" t="n">
        <v>137774.7</v>
      </c>
      <c r="L73" s="9" t="n">
        <v>128000</v>
      </c>
      <c r="M73" s="9" t="inlineStr">
        <is>
          <t>Amex_BTA_Ghost</t>
        </is>
      </c>
      <c r="N73" s="9" t="inlineStr">
        <is>
          <t>Y</t>
        </is>
      </c>
      <c r="O73" s="9" t="n">
        <v>0</v>
      </c>
      <c r="P73" s="9" t="inlineStr"/>
      <c r="Q73" s="9" t="inlineStr">
        <is>
          <t>nan</t>
        </is>
      </c>
      <c r="R73" s="9" t="inlineStr">
        <is>
          <t>N</t>
        </is>
      </c>
      <c r="S73" s="9" t="inlineStr">
        <is>
          <t>CVT-688933</t>
        </is>
      </c>
      <c r="T73" s="9" t="inlineStr">
        <is>
          <t>EXP-2026-211341</t>
        </is>
      </c>
      <c r="U73" s="9" t="inlineStr">
        <is>
          <t>Y</t>
        </is>
      </c>
      <c r="V73" s="9" t="n">
        <v>9</v>
      </c>
      <c r="W73" s="9" t="inlineStr">
        <is>
          <t>N</t>
        </is>
      </c>
      <c r="X73" s="9" t="inlineStr">
        <is>
          <t>Approved</t>
        </is>
      </c>
      <c r="Y73" s="10">
        <f>IF(OR(ISBLANK(A73), ISBLANK(D73), ISBLANK(E73)), "FAIL", "PASS")</f>
        <v/>
      </c>
      <c r="Z73" s="10">
        <f>IF(H73&lt;G73, "FAIL", "PASS")</f>
        <v/>
      </c>
      <c r="AA73" s="10">
        <f>IF(AND(O73&gt;0, S73=""), "FAIL", "PASS")</f>
        <v/>
      </c>
      <c r="AB73" s="10">
        <f>IF(AND(F73="US", O73&gt;0, P73=""), "FAIL", "PASS")</f>
        <v/>
      </c>
      <c r="AC73" s="10">
        <f>IF(AND(OR(M73="Amex_BTA_Ghost", M73="Single_Use_Virtual_Card"), N73="N"), "FAIL", "PASS")</f>
        <v/>
      </c>
      <c r="AD73" s="10">
        <f>IF(OR(U73="N", V73&gt;14), "FAIL", "PASS")</f>
        <v/>
      </c>
      <c r="AE73" s="10">
        <f>IF(J73&gt;25, "FAIL", "PASS")</f>
        <v/>
      </c>
      <c r="AF73" s="10">
        <f>IF(COUNTIF(Y73:AE73, "FAIL")=0, "CLEAN", "FLAGGED")</f>
        <v/>
      </c>
    </row>
    <row r="74">
      <c r="A74" s="9" t="inlineStr">
        <is>
          <t>MTG-2026-10068</t>
        </is>
      </c>
      <c r="B74" s="9" t="inlineStr">
        <is>
          <t>Rare_Disease</t>
        </is>
      </c>
      <c r="C74" s="9" t="inlineStr">
        <is>
          <t>Advisory_Board</t>
        </is>
      </c>
      <c r="D74" s="9" t="inlineStr">
        <is>
          <t>CC-RD-9014</t>
        </is>
      </c>
      <c r="E74" s="9" t="inlineStr">
        <is>
          <t>WBS-RD-401-REG</t>
        </is>
      </c>
      <c r="F74" s="9" t="inlineStr">
        <is>
          <t>US</t>
        </is>
      </c>
      <c r="G74" s="9" t="inlineStr">
        <is>
          <t>2026-09-14</t>
        </is>
      </c>
      <c r="H74" s="9" t="inlineStr">
        <is>
          <t>2026-09-18</t>
        </is>
      </c>
      <c r="I74" s="9" t="n">
        <v>71</v>
      </c>
      <c r="J74" s="9" t="n">
        <v>-2.01</v>
      </c>
      <c r="K74" s="9" t="n">
        <v>126997.08</v>
      </c>
      <c r="L74" s="9" t="n">
        <v>129600</v>
      </c>
      <c r="M74" s="9" t="inlineStr">
        <is>
          <t>Corporate_T&amp;E_Card</t>
        </is>
      </c>
      <c r="N74" s="9" t="inlineStr">
        <is>
          <t>Y</t>
        </is>
      </c>
      <c r="O74" s="9" t="n">
        <v>24</v>
      </c>
      <c r="P74" s="9" t="inlineStr">
        <is>
          <t>1720286733;1874305759;1435775088;1303832812;1919395339;1271092615;1635008544;1652681586;1601238919;1635539154;1431292818;1634047267;1124885365;1196689473;1522240582;1642716859;1590947659;1358480413;1331009561;1726360971;1478918222;1152246275;1154267347;1402104065</t>
        </is>
      </c>
      <c r="Q74" s="9" t="inlineStr">
        <is>
          <t>Y</t>
        </is>
      </c>
      <c r="R74" s="9" t="inlineStr">
        <is>
          <t>N</t>
        </is>
      </c>
      <c r="S74" s="9" t="inlineStr">
        <is>
          <t>CVT-983791</t>
        </is>
      </c>
      <c r="T74" s="9" t="inlineStr">
        <is>
          <t>EXP-2026-786041</t>
        </is>
      </c>
      <c r="U74" s="9" t="inlineStr">
        <is>
          <t>Y</t>
        </is>
      </c>
      <c r="V74" s="9" t="n">
        <v>6</v>
      </c>
      <c r="W74" s="9" t="inlineStr">
        <is>
          <t>Y</t>
        </is>
      </c>
      <c r="X74" s="9" t="inlineStr">
        <is>
          <t>Approved</t>
        </is>
      </c>
      <c r="Y74" s="10">
        <f>IF(OR(ISBLANK(A74), ISBLANK(D74), ISBLANK(E74)), "FAIL", "PASS")</f>
        <v/>
      </c>
      <c r="Z74" s="10">
        <f>IF(H74&lt;G74, "FAIL", "PASS")</f>
        <v/>
      </c>
      <c r="AA74" s="10">
        <f>IF(AND(O74&gt;0, S74=""), "FAIL", "PASS")</f>
        <v/>
      </c>
      <c r="AB74" s="10">
        <f>IF(AND(F74="US", O74&gt;0, P74=""), "FAIL", "PASS")</f>
        <v/>
      </c>
      <c r="AC74" s="10">
        <f>IF(AND(OR(M74="Amex_BTA_Ghost", M74="Single_Use_Virtual_Card"), N74="N"), "FAIL", "PASS")</f>
        <v/>
      </c>
      <c r="AD74" s="10">
        <f>IF(OR(U74="N", V74&gt;14), "FAIL", "PASS")</f>
        <v/>
      </c>
      <c r="AE74" s="10">
        <f>IF(J74&gt;25, "FAIL", "PASS")</f>
        <v/>
      </c>
      <c r="AF74" s="10">
        <f>IF(COUNTIF(Y74:AE74, "FAIL")=0, "CLEAN", "FLAGGED")</f>
        <v/>
      </c>
    </row>
    <row r="75">
      <c r="A75" s="9" t="inlineStr">
        <is>
          <t>MTG-2026-10069</t>
        </is>
      </c>
      <c r="B75" s="9" t="inlineStr">
        <is>
          <t>Vaccines_Infectious</t>
        </is>
      </c>
      <c r="C75" s="9" t="inlineStr">
        <is>
          <t>Medical_Symposium</t>
        </is>
      </c>
      <c r="D75" s="9" t="inlineStr">
        <is>
          <t>CC-VAC-6311</t>
        </is>
      </c>
      <c r="E75" s="9" t="inlineStr">
        <is>
          <t>WBS-RD-401-REG</t>
        </is>
      </c>
      <c r="F75" s="9" t="inlineStr">
        <is>
          <t>US</t>
        </is>
      </c>
      <c r="G75" s="9" t="inlineStr">
        <is>
          <t>2026-02-18</t>
        </is>
      </c>
      <c r="H75" s="9" t="inlineStr">
        <is>
          <t>2026-02-21</t>
        </is>
      </c>
      <c r="I75" s="9" t="n">
        <v>64</v>
      </c>
      <c r="J75" s="9" t="n">
        <v>3.39</v>
      </c>
      <c r="K75" s="9" t="n">
        <v>135751.49</v>
      </c>
      <c r="L75" s="9" t="n">
        <v>131300</v>
      </c>
      <c r="M75" s="9" t="inlineStr">
        <is>
          <t>Single_Use_Virtual_Card</t>
        </is>
      </c>
      <c r="N75" s="9" t="inlineStr">
        <is>
          <t>Y</t>
        </is>
      </c>
      <c r="O75" s="9" t="n">
        <v>7</v>
      </c>
      <c r="P75" s="9" t="inlineStr"/>
      <c r="Q75" s="9" t="inlineStr">
        <is>
          <t>Y</t>
        </is>
      </c>
      <c r="R75" s="9" t="inlineStr">
        <is>
          <t>N</t>
        </is>
      </c>
      <c r="S75" s="9" t="inlineStr">
        <is>
          <t>CVT-572230</t>
        </is>
      </c>
      <c r="T75" s="9" t="inlineStr">
        <is>
          <t>EXP-2026-901535</t>
        </is>
      </c>
      <c r="U75" s="9" t="inlineStr">
        <is>
          <t>Y</t>
        </is>
      </c>
      <c r="V75" s="9" t="n">
        <v>11</v>
      </c>
      <c r="W75" s="9" t="inlineStr">
        <is>
          <t>Y</t>
        </is>
      </c>
      <c r="X75" s="9" t="inlineStr">
        <is>
          <t>Approved</t>
        </is>
      </c>
      <c r="Y75" s="10">
        <f>IF(OR(ISBLANK(A75), ISBLANK(D75), ISBLANK(E75)), "FAIL", "PASS")</f>
        <v/>
      </c>
      <c r="Z75" s="10">
        <f>IF(H75&lt;G75, "FAIL", "PASS")</f>
        <v/>
      </c>
      <c r="AA75" s="10">
        <f>IF(AND(O75&gt;0, S75=""), "FAIL", "PASS")</f>
        <v/>
      </c>
      <c r="AB75" s="10">
        <f>IF(AND(F75="US", O75&gt;0, P75=""), "FAIL", "PASS")</f>
        <v/>
      </c>
      <c r="AC75" s="10">
        <f>IF(AND(OR(M75="Amex_BTA_Ghost", M75="Single_Use_Virtual_Card"), N75="N"), "FAIL", "PASS")</f>
        <v/>
      </c>
      <c r="AD75" s="10">
        <f>IF(OR(U75="N", V75&gt;14), "FAIL", "PASS")</f>
        <v/>
      </c>
      <c r="AE75" s="10">
        <f>IF(J75&gt;25, "FAIL", "PASS")</f>
        <v/>
      </c>
      <c r="AF75" s="10">
        <f>IF(COUNTIF(Y75:AE75, "FAIL")=0, "CLEAN", "FLAGGED")</f>
        <v/>
      </c>
    </row>
    <row r="76">
      <c r="A76" s="9" t="inlineStr">
        <is>
          <t>MTG-2026-10070</t>
        </is>
      </c>
      <c r="B76" s="9" t="inlineStr">
        <is>
          <t>Vaccines_Infectious</t>
        </is>
      </c>
      <c r="C76" s="9" t="inlineStr">
        <is>
          <t>Medical_Symposium</t>
        </is>
      </c>
      <c r="D76" s="9" t="inlineStr">
        <is>
          <t>CC-VAC-6311</t>
        </is>
      </c>
      <c r="E76" s="9" t="inlineStr">
        <is>
          <t>WBS-VAC-205-GLB</t>
        </is>
      </c>
      <c r="F76" s="9" t="inlineStr">
        <is>
          <t>US</t>
        </is>
      </c>
      <c r="G76" s="9" t="inlineStr">
        <is>
          <t>2026-04-20</t>
        </is>
      </c>
      <c r="H76" s="9" t="inlineStr">
        <is>
          <t>2026-04-23</t>
        </is>
      </c>
      <c r="I76" s="9" t="n">
        <v>89</v>
      </c>
      <c r="J76" s="9" t="n">
        <v>-3.33</v>
      </c>
      <c r="K76" s="9" t="n">
        <v>136017.97</v>
      </c>
      <c r="L76" s="9" t="n">
        <v>140700</v>
      </c>
      <c r="M76" s="9" t="inlineStr">
        <is>
          <t>Single_Use_Virtual_Card</t>
        </is>
      </c>
      <c r="N76" s="9" t="inlineStr">
        <is>
          <t>Y</t>
        </is>
      </c>
      <c r="O76" s="9" t="n">
        <v>29</v>
      </c>
      <c r="P76" s="9" t="inlineStr">
        <is>
          <t>1636954564;1143223380;1148644109;1141783553;1247141682;1866213410;1457599735;1963251765;1608678910;1657629251;1590687732;1259923818;1750967273;1653520069;1250088694;1452150647;1758276886;1442019016;1274485243;1521931770;1761962359;1893838119;1421300425;1737506993;1461178244;1644725317;1989368954;1647301347;1671595541</t>
        </is>
      </c>
      <c r="Q76" s="9" t="inlineStr">
        <is>
          <t>Y</t>
        </is>
      </c>
      <c r="R76" s="9" t="inlineStr">
        <is>
          <t>N</t>
        </is>
      </c>
      <c r="S76" s="9" t="inlineStr">
        <is>
          <t>CVT-690268</t>
        </is>
      </c>
      <c r="T76" s="9" t="inlineStr">
        <is>
          <t>EXP-2026-414353</t>
        </is>
      </c>
      <c r="U76" s="9" t="inlineStr">
        <is>
          <t>Y</t>
        </is>
      </c>
      <c r="V76" s="9" t="n">
        <v>2</v>
      </c>
      <c r="W76" s="9" t="inlineStr">
        <is>
          <t>Y</t>
        </is>
      </c>
      <c r="X76" s="9" t="inlineStr">
        <is>
          <t>Approved</t>
        </is>
      </c>
      <c r="Y76" s="10">
        <f>IF(OR(ISBLANK(A76), ISBLANK(D76), ISBLANK(E76)), "FAIL", "PASS")</f>
        <v/>
      </c>
      <c r="Z76" s="10">
        <f>IF(H76&lt;G76, "FAIL", "PASS")</f>
        <v/>
      </c>
      <c r="AA76" s="10">
        <f>IF(AND(O76&gt;0, S76=""), "FAIL", "PASS")</f>
        <v/>
      </c>
      <c r="AB76" s="10">
        <f>IF(AND(F76="US", O76&gt;0, P76=""), "FAIL", "PASS")</f>
        <v/>
      </c>
      <c r="AC76" s="10">
        <f>IF(AND(OR(M76="Amex_BTA_Ghost", M76="Single_Use_Virtual_Card"), N76="N"), "FAIL", "PASS")</f>
        <v/>
      </c>
      <c r="AD76" s="10">
        <f>IF(OR(U76="N", V76&gt;14), "FAIL", "PASS")</f>
        <v/>
      </c>
      <c r="AE76" s="10">
        <f>IF(J76&gt;25, "FAIL", "PASS")</f>
        <v/>
      </c>
      <c r="AF76" s="10">
        <f>IF(COUNTIF(Y76:AE76, "FAIL")=0, "CLEAN", "FLAGGED")</f>
        <v/>
      </c>
    </row>
    <row r="77">
      <c r="A77" s="9" t="inlineStr">
        <is>
          <t>MTG-2026-10071</t>
        </is>
      </c>
      <c r="B77" s="9" t="inlineStr">
        <is>
          <t>Rare_Disease</t>
        </is>
      </c>
      <c r="C77" s="9" t="inlineStr">
        <is>
          <t>Medical_Symposium</t>
        </is>
      </c>
      <c r="D77" s="9" t="inlineStr">
        <is>
          <t>CC-RD-9014</t>
        </is>
      </c>
      <c r="E77" s="9" t="inlineStr">
        <is>
          <t>WBS-VAC-205-GLB</t>
        </is>
      </c>
      <c r="F77" s="9" t="inlineStr">
        <is>
          <t>DE</t>
        </is>
      </c>
      <c r="G77" s="9" t="inlineStr">
        <is>
          <t>2026-08-06</t>
        </is>
      </c>
      <c r="H77" s="9" t="inlineStr">
        <is>
          <t>2026-08-07</t>
        </is>
      </c>
      <c r="I77" s="9" t="n">
        <v>78</v>
      </c>
      <c r="J77" s="9" t="n">
        <v>-0.87</v>
      </c>
      <c r="K77" s="9" t="n">
        <v>198156.1</v>
      </c>
      <c r="L77" s="9" t="n">
        <v>199900</v>
      </c>
      <c r="M77" s="9" t="inlineStr">
        <is>
          <t>Amex_BTA_Ghost</t>
        </is>
      </c>
      <c r="N77" s="9" t="inlineStr">
        <is>
          <t>Y</t>
        </is>
      </c>
      <c r="O77" s="9" t="n">
        <v>18</v>
      </c>
      <c r="P77" s="9" t="inlineStr">
        <is>
          <t>EFPIA-DE-856442;EFPIA-DE-153849;EFPIA-DE-711868;EFPIA-DE-603787;EFPIA-DE-278794;EFPIA-DE-649697;EFPIA-DE-759580;EFPIA-DE-856215;EFPIA-DE-749840;EFPIA-DE-912233;EFPIA-DE-982027;EFPIA-DE-498658;EFPIA-DE-254954;EFPIA-DE-961574;EFPIA-DE-813793;EFPIA-DE-353961;EFPIA-DE-133104;EFPIA-DE-700383</t>
        </is>
      </c>
      <c r="Q77" s="9" t="inlineStr">
        <is>
          <t>N</t>
        </is>
      </c>
      <c r="R77" s="9" t="inlineStr">
        <is>
          <t>N</t>
        </is>
      </c>
      <c r="S77" s="9" t="inlineStr">
        <is>
          <t>CVT-215233</t>
        </is>
      </c>
      <c r="T77" s="9" t="inlineStr">
        <is>
          <t>EXP-2026-300051</t>
        </is>
      </c>
      <c r="U77" s="9" t="inlineStr">
        <is>
          <t>Y</t>
        </is>
      </c>
      <c r="V77" s="9" t="n">
        <v>7</v>
      </c>
      <c r="W77" s="9" t="inlineStr">
        <is>
          <t>Y</t>
        </is>
      </c>
      <c r="X77" s="9" t="inlineStr">
        <is>
          <t>Approved</t>
        </is>
      </c>
      <c r="Y77" s="10">
        <f>IF(OR(ISBLANK(A77), ISBLANK(D77), ISBLANK(E77)), "FAIL", "PASS")</f>
        <v/>
      </c>
      <c r="Z77" s="10">
        <f>IF(H77&lt;G77, "FAIL", "PASS")</f>
        <v/>
      </c>
      <c r="AA77" s="10">
        <f>IF(AND(O77&gt;0, S77=""), "FAIL", "PASS")</f>
        <v/>
      </c>
      <c r="AB77" s="10">
        <f>IF(AND(F77="US", O77&gt;0, P77=""), "FAIL", "PASS")</f>
        <v/>
      </c>
      <c r="AC77" s="10">
        <f>IF(AND(OR(M77="Amex_BTA_Ghost", M77="Single_Use_Virtual_Card"), N77="N"), "FAIL", "PASS")</f>
        <v/>
      </c>
      <c r="AD77" s="10">
        <f>IF(OR(U77="N", V77&gt;14), "FAIL", "PASS")</f>
        <v/>
      </c>
      <c r="AE77" s="10">
        <f>IF(J77&gt;25, "FAIL", "PASS")</f>
        <v/>
      </c>
      <c r="AF77" s="10">
        <f>IF(COUNTIF(Y77:AE77, "FAIL")=0, "CLEAN", "FLAGGED")</f>
        <v/>
      </c>
    </row>
    <row r="78">
      <c r="A78" s="9" t="inlineStr">
        <is>
          <t>MTG-2026-10072</t>
        </is>
      </c>
      <c r="B78" s="9" t="inlineStr">
        <is>
          <t>Vaccines_Infectious</t>
        </is>
      </c>
      <c r="C78" s="9" t="inlineStr">
        <is>
          <t>Advisory_Board</t>
        </is>
      </c>
      <c r="D78" s="9" t="inlineStr">
        <is>
          <t>CC-VAC-6311</t>
        </is>
      </c>
      <c r="E78" s="9" t="inlineStr">
        <is>
          <t>WBS-VAC-205-GLB</t>
        </is>
      </c>
      <c r="F78" s="9" t="inlineStr">
        <is>
          <t>DE</t>
        </is>
      </c>
      <c r="G78" s="9" t="inlineStr">
        <is>
          <t>2026-08-26</t>
        </is>
      </c>
      <c r="H78" s="9" t="inlineStr">
        <is>
          <t>2026-08-27</t>
        </is>
      </c>
      <c r="I78" s="9" t="n">
        <v>35</v>
      </c>
      <c r="J78" s="9" t="n">
        <v>8.84</v>
      </c>
      <c r="K78" s="9" t="n">
        <v>97956.27</v>
      </c>
      <c r="L78" s="9" t="n">
        <v>90000</v>
      </c>
      <c r="M78" s="9" t="inlineStr">
        <is>
          <t>Single_Use_Virtual_Card</t>
        </is>
      </c>
      <c r="N78" s="9" t="inlineStr">
        <is>
          <t>Y</t>
        </is>
      </c>
      <c r="O78" s="9" t="n">
        <v>34</v>
      </c>
      <c r="P78" s="9" t="inlineStr">
        <is>
          <t>EFPIA-DE-651002;EFPIA-DE-495129;EFPIA-DE-428993;EFPIA-DE-281594;EFPIA-DE-581992;EFPIA-DE-659024;EFPIA-DE-458955;EFPIA-DE-672808;EFPIA-DE-471496;EFPIA-DE-808699;EFPIA-DE-909489;EFPIA-DE-855944;EFPIA-DE-813813;EFPIA-DE-774558;EFPIA-DE-942690;EFPIA-DE-826991;EFPIA-DE-377203;EFPIA-DE-739711;EFPIA-DE-607699;EFPIA-DE-301603;EFPIA-DE-358494;EFPIA-DE-392559;EFPIA-DE-685196;EFPIA-DE-412999;EFPIA-DE-335790;EFPIA-DE-412071;EFPIA-DE-908634;EFPIA-DE-403042;EFPIA-DE-839142;EFPIA-DE-317346;EFPIA-DE-823769;EFPIA-DE-839233;EFPIA-DE-612756;EFPIA-DE-432441</t>
        </is>
      </c>
      <c r="Q78" s="9" t="inlineStr">
        <is>
          <t>Y</t>
        </is>
      </c>
      <c r="R78" s="9" t="inlineStr">
        <is>
          <t>N</t>
        </is>
      </c>
      <c r="S78" s="9" t="inlineStr">
        <is>
          <t>CVT-687713</t>
        </is>
      </c>
      <c r="T78" s="9" t="inlineStr">
        <is>
          <t>EXP-2026-934042</t>
        </is>
      </c>
      <c r="U78" s="9" t="inlineStr">
        <is>
          <t>Y</t>
        </is>
      </c>
      <c r="V78" s="9" t="n">
        <v>6</v>
      </c>
      <c r="W78" s="9" t="inlineStr">
        <is>
          <t>Y</t>
        </is>
      </c>
      <c r="X78" s="9" t="inlineStr">
        <is>
          <t>Approved</t>
        </is>
      </c>
      <c r="Y78" s="10">
        <f>IF(OR(ISBLANK(A78), ISBLANK(D78), ISBLANK(E78)), "FAIL", "PASS")</f>
        <v/>
      </c>
      <c r="Z78" s="10">
        <f>IF(H78&lt;G78, "FAIL", "PASS")</f>
        <v/>
      </c>
      <c r="AA78" s="10">
        <f>IF(AND(O78&gt;0, S78=""), "FAIL", "PASS")</f>
        <v/>
      </c>
      <c r="AB78" s="10">
        <f>IF(AND(F78="US", O78&gt;0, P78=""), "FAIL", "PASS")</f>
        <v/>
      </c>
      <c r="AC78" s="10">
        <f>IF(AND(OR(M78="Amex_BTA_Ghost", M78="Single_Use_Virtual_Card"), N78="N"), "FAIL", "PASS")</f>
        <v/>
      </c>
      <c r="AD78" s="10">
        <f>IF(OR(U78="N", V78&gt;14), "FAIL", "PASS")</f>
        <v/>
      </c>
      <c r="AE78" s="10">
        <f>IF(J78&gt;25, "FAIL", "PASS")</f>
        <v/>
      </c>
      <c r="AF78" s="10">
        <f>IF(COUNTIF(Y78:AE78, "FAIL")=0, "CLEAN", "FLAGGED")</f>
        <v/>
      </c>
    </row>
    <row r="79">
      <c r="A79" s="9" t="inlineStr">
        <is>
          <t>MTG-2026-10073</t>
        </is>
      </c>
      <c r="B79" s="9" t="inlineStr">
        <is>
          <t>Vaccines_Infectious</t>
        </is>
      </c>
      <c r="C79" s="9" t="inlineStr">
        <is>
          <t>Investigator_Meeting</t>
        </is>
      </c>
      <c r="D79" s="9" t="inlineStr">
        <is>
          <t>CC-VAC-6311</t>
        </is>
      </c>
      <c r="E79" s="9" t="inlineStr">
        <is>
          <t>WBS-VAC-205-GLB</t>
        </is>
      </c>
      <c r="F79" s="9" t="inlineStr">
        <is>
          <t>DE</t>
        </is>
      </c>
      <c r="G79" s="9" t="inlineStr">
        <is>
          <t>2026-08-12</t>
        </is>
      </c>
      <c r="H79" s="9" t="inlineStr">
        <is>
          <t>2026-08-15</t>
        </is>
      </c>
      <c r="I79" s="9" t="n">
        <v>36</v>
      </c>
      <c r="J79" s="9" t="n">
        <v>7.21</v>
      </c>
      <c r="K79" s="9" t="n">
        <v>334819.14</v>
      </c>
      <c r="L79" s="9" t="n">
        <v>312300</v>
      </c>
      <c r="M79" s="9" t="inlineStr">
        <is>
          <t>Amex_BTA_Ghost</t>
        </is>
      </c>
      <c r="N79" s="9" t="inlineStr">
        <is>
          <t>Y</t>
        </is>
      </c>
      <c r="O79" s="9" t="n">
        <v>9</v>
      </c>
      <c r="P79" s="9" t="inlineStr">
        <is>
          <t>EFPIA-DE-463188;EFPIA-DE-563864;EFPIA-DE-787836;EFPIA-DE-368900;EFPIA-DE-883641;EFPIA-DE-602351;EFPIA-DE-324381;EFPIA-DE-311883;EFPIA-DE-968170</t>
        </is>
      </c>
      <c r="Q79" s="9" t="inlineStr">
        <is>
          <t>Y</t>
        </is>
      </c>
      <c r="R79" s="9" t="inlineStr">
        <is>
          <t>N</t>
        </is>
      </c>
      <c r="S79" s="9" t="inlineStr">
        <is>
          <t>CVT-689318</t>
        </is>
      </c>
      <c r="T79" s="9" t="inlineStr">
        <is>
          <t>EXP-2026-829988</t>
        </is>
      </c>
      <c r="U79" s="9" t="inlineStr">
        <is>
          <t>Y</t>
        </is>
      </c>
      <c r="V79" s="9" t="n">
        <v>3</v>
      </c>
      <c r="W79" s="9" t="inlineStr">
        <is>
          <t>Y</t>
        </is>
      </c>
      <c r="X79" s="9" t="inlineStr">
        <is>
          <t>Approved</t>
        </is>
      </c>
      <c r="Y79" s="10">
        <f>IF(OR(ISBLANK(A79), ISBLANK(D79), ISBLANK(E79)), "FAIL", "PASS")</f>
        <v/>
      </c>
      <c r="Z79" s="10">
        <f>IF(H79&lt;G79, "FAIL", "PASS")</f>
        <v/>
      </c>
      <c r="AA79" s="10">
        <f>IF(AND(O79&gt;0, S79=""), "FAIL", "PASS")</f>
        <v/>
      </c>
      <c r="AB79" s="10">
        <f>IF(AND(F79="US", O79&gt;0, P79=""), "FAIL", "PASS")</f>
        <v/>
      </c>
      <c r="AC79" s="10">
        <f>IF(AND(OR(M79="Amex_BTA_Ghost", M79="Single_Use_Virtual_Card"), N79="N"), "FAIL", "PASS")</f>
        <v/>
      </c>
      <c r="AD79" s="10">
        <f>IF(OR(U79="N", V79&gt;14), "FAIL", "PASS")</f>
        <v/>
      </c>
      <c r="AE79" s="10">
        <f>IF(J79&gt;25, "FAIL", "PASS")</f>
        <v/>
      </c>
      <c r="AF79" s="10">
        <f>IF(COUNTIF(Y79:AE79, "FAIL")=0, "CLEAN", "FLAGGED")</f>
        <v/>
      </c>
    </row>
    <row r="80">
      <c r="A80" s="9" t="inlineStr">
        <is>
          <t>MTG-2026-10074</t>
        </is>
      </c>
      <c r="B80" s="9" t="inlineStr">
        <is>
          <t>Immunology_Inflammation</t>
        </is>
      </c>
      <c r="C80" s="9" t="inlineStr">
        <is>
          <t>Internal_Sales_Rally</t>
        </is>
      </c>
      <c r="D80" s="9" t="inlineStr">
        <is>
          <t>CC-IMM-4102</t>
        </is>
      </c>
      <c r="E80" s="9" t="inlineStr">
        <is>
          <t>WBS-IMM-108-PH3</t>
        </is>
      </c>
      <c r="F80" s="9" t="inlineStr">
        <is>
          <t>DE</t>
        </is>
      </c>
      <c r="G80" s="9" t="inlineStr">
        <is>
          <t>2026-01-27</t>
        </is>
      </c>
      <c r="H80" s="9" t="inlineStr">
        <is>
          <t>2026-01-29</t>
        </is>
      </c>
      <c r="I80" s="9" t="n">
        <v>47</v>
      </c>
      <c r="J80" s="9" t="n">
        <v>6.22</v>
      </c>
      <c r="K80" s="9" t="n">
        <v>137977.01</v>
      </c>
      <c r="L80" s="9" t="n">
        <v>129900</v>
      </c>
      <c r="M80" s="9" t="inlineStr">
        <is>
          <t>Amex_BTA_Ghost</t>
        </is>
      </c>
      <c r="N80" s="9" t="inlineStr">
        <is>
          <t>Y</t>
        </is>
      </c>
      <c r="O80" s="9" t="n">
        <v>0</v>
      </c>
      <c r="P80" s="9" t="inlineStr"/>
      <c r="Q80" s="9" t="inlineStr">
        <is>
          <t>nan</t>
        </is>
      </c>
      <c r="R80" s="9" t="inlineStr">
        <is>
          <t>N</t>
        </is>
      </c>
      <c r="S80" s="9" t="inlineStr">
        <is>
          <t>CVT-595351</t>
        </is>
      </c>
      <c r="T80" s="9" t="inlineStr">
        <is>
          <t>EXP-2026-205428</t>
        </is>
      </c>
      <c r="U80" s="9" t="inlineStr">
        <is>
          <t>Y</t>
        </is>
      </c>
      <c r="V80" s="9" t="n">
        <v>4</v>
      </c>
      <c r="W80" s="9" t="inlineStr">
        <is>
          <t>N</t>
        </is>
      </c>
      <c r="X80" s="9" t="inlineStr">
        <is>
          <t>Approved</t>
        </is>
      </c>
      <c r="Y80" s="10">
        <f>IF(OR(ISBLANK(A80), ISBLANK(D80), ISBLANK(E80)), "FAIL", "PASS")</f>
        <v/>
      </c>
      <c r="Z80" s="10">
        <f>IF(H80&lt;G80, "FAIL", "PASS")</f>
        <v/>
      </c>
      <c r="AA80" s="10">
        <f>IF(AND(O80&gt;0, S80=""), "FAIL", "PASS")</f>
        <v/>
      </c>
      <c r="AB80" s="10">
        <f>IF(AND(F80="US", O80&gt;0, P80=""), "FAIL", "PASS")</f>
        <v/>
      </c>
      <c r="AC80" s="10">
        <f>IF(AND(OR(M80="Amex_BTA_Ghost", M80="Single_Use_Virtual_Card"), N80="N"), "FAIL", "PASS")</f>
        <v/>
      </c>
      <c r="AD80" s="10">
        <f>IF(OR(U80="N", V80&gt;14), "FAIL", "PASS")</f>
        <v/>
      </c>
      <c r="AE80" s="10">
        <f>IF(J80&gt;25, "FAIL", "PASS")</f>
        <v/>
      </c>
      <c r="AF80" s="10">
        <f>IF(COUNTIF(Y80:AE80, "FAIL")=0, "CLEAN", "FLAGGED")</f>
        <v/>
      </c>
    </row>
    <row r="81">
      <c r="A81" s="9" t="inlineStr">
        <is>
          <t>MTG-2026-10075</t>
        </is>
      </c>
      <c r="B81" s="9" t="inlineStr">
        <is>
          <t>Vaccines_Infectious</t>
        </is>
      </c>
      <c r="C81" s="9" t="inlineStr">
        <is>
          <t>Advisory_Board</t>
        </is>
      </c>
      <c r="D81" s="9" t="inlineStr">
        <is>
          <t>CC-VAC-6311</t>
        </is>
      </c>
      <c r="E81" s="9" t="inlineStr">
        <is>
          <t>WBS-VAC-205-GLB</t>
        </is>
      </c>
      <c r="F81" s="9" t="inlineStr">
        <is>
          <t>US</t>
        </is>
      </c>
      <c r="G81" s="9" t="inlineStr">
        <is>
          <t>2026-07-01</t>
        </is>
      </c>
      <c r="H81" s="9" t="inlineStr">
        <is>
          <t>2026-07-05</t>
        </is>
      </c>
      <c r="I81" s="9" t="n">
        <v>79</v>
      </c>
      <c r="J81" s="9" t="n">
        <v>21.59</v>
      </c>
      <c r="K81" s="9" t="n">
        <v>124142.55</v>
      </c>
      <c r="L81" s="9" t="n">
        <v>102100</v>
      </c>
      <c r="M81" s="9" t="inlineStr">
        <is>
          <t>Single_Use_Virtual_Card</t>
        </is>
      </c>
      <c r="N81" s="9" t="inlineStr">
        <is>
          <t>Y</t>
        </is>
      </c>
      <c r="O81" s="9" t="n">
        <v>24</v>
      </c>
      <c r="P81" s="9" t="inlineStr">
        <is>
          <t>1406462391;1793527609;1163525343;1925412179;1196057712;1800400428;1716470999;1349344539;1674615376;1893158610;1876441691;1140048684;1287974375;1548700579;1999371401;1288751681;1139019611;1997866344;1526269674;1946066287;1631914410;1300050585;1904236062;1410812797</t>
        </is>
      </c>
      <c r="Q81" s="9" t="inlineStr">
        <is>
          <t>Y</t>
        </is>
      </c>
      <c r="R81" s="9" t="inlineStr">
        <is>
          <t>N</t>
        </is>
      </c>
      <c r="S81" s="9" t="inlineStr">
        <is>
          <t>CVT-109717</t>
        </is>
      </c>
      <c r="T81" s="9" t="inlineStr">
        <is>
          <t>EXP-2026-412886</t>
        </is>
      </c>
      <c r="U81" s="9" t="inlineStr">
        <is>
          <t>Y</t>
        </is>
      </c>
      <c r="V81" s="9" t="n">
        <v>3</v>
      </c>
      <c r="W81" s="9" t="inlineStr">
        <is>
          <t>Y</t>
        </is>
      </c>
      <c r="X81" s="9" t="inlineStr">
        <is>
          <t>Approved</t>
        </is>
      </c>
      <c r="Y81" s="10">
        <f>IF(OR(ISBLANK(A81), ISBLANK(D81), ISBLANK(E81)), "FAIL", "PASS")</f>
        <v/>
      </c>
      <c r="Z81" s="10">
        <f>IF(H81&lt;G81, "FAIL", "PASS")</f>
        <v/>
      </c>
      <c r="AA81" s="10">
        <f>IF(AND(O81&gt;0, S81=""), "FAIL", "PASS")</f>
        <v/>
      </c>
      <c r="AB81" s="10">
        <f>IF(AND(F81="US", O81&gt;0, P81=""), "FAIL", "PASS")</f>
        <v/>
      </c>
      <c r="AC81" s="10">
        <f>IF(AND(OR(M81="Amex_BTA_Ghost", M81="Single_Use_Virtual_Card"), N81="N"), "FAIL", "PASS")</f>
        <v/>
      </c>
      <c r="AD81" s="10">
        <f>IF(OR(U81="N", V81&gt;14), "FAIL", "PASS")</f>
        <v/>
      </c>
      <c r="AE81" s="10">
        <f>IF(J81&gt;25, "FAIL", "PASS")</f>
        <v/>
      </c>
      <c r="AF81" s="10">
        <f>IF(COUNTIF(Y81:AE81, "FAIL")=0, "CLEAN", "FLAGGED")</f>
        <v/>
      </c>
    </row>
    <row r="82">
      <c r="A82" s="9" t="inlineStr">
        <is>
          <t>MTG-2026-10076</t>
        </is>
      </c>
      <c r="B82" s="9" t="inlineStr">
        <is>
          <t>Vaccines_Infectious</t>
        </is>
      </c>
      <c r="C82" s="9" t="inlineStr">
        <is>
          <t>Advisory_Board</t>
        </is>
      </c>
      <c r="D82" s="9" t="inlineStr">
        <is>
          <t>CC-VAC-6311</t>
        </is>
      </c>
      <c r="E82" s="9" t="inlineStr">
        <is>
          <t>WBS-VAC-205-GLB</t>
        </is>
      </c>
      <c r="F82" s="9" t="inlineStr">
        <is>
          <t>CH</t>
        </is>
      </c>
      <c r="G82" s="9" t="inlineStr">
        <is>
          <t>2026-06-28</t>
        </is>
      </c>
      <c r="H82" s="9" t="inlineStr">
        <is>
          <t>2026-07-02</t>
        </is>
      </c>
      <c r="I82" s="9" t="n">
        <v>35</v>
      </c>
      <c r="J82" s="9" t="n">
        <v>1.83</v>
      </c>
      <c r="K82" s="9" t="n">
        <v>69245.07000000001</v>
      </c>
      <c r="L82" s="9" t="n">
        <v>68000</v>
      </c>
      <c r="M82" s="9" t="inlineStr">
        <is>
          <t>Single_Use_Virtual_Card</t>
        </is>
      </c>
      <c r="N82" s="9" t="inlineStr">
        <is>
          <t>Y</t>
        </is>
      </c>
      <c r="O82" s="9" t="n">
        <v>11</v>
      </c>
      <c r="P82" s="9" t="inlineStr">
        <is>
          <t>EFPIA-CH-446747;EFPIA-CH-270387;EFPIA-CH-866634;EFPIA-CH-581206;EFPIA-CH-779776;EFPIA-CH-369761;EFPIA-CH-853504;EFPIA-CH-295243;EFPIA-CH-114768;EFPIA-CH-872399;EFPIA-CH-453487</t>
        </is>
      </c>
      <c r="Q82" s="9" t="inlineStr">
        <is>
          <t>Y</t>
        </is>
      </c>
      <c r="R82" s="9" t="inlineStr">
        <is>
          <t>N</t>
        </is>
      </c>
      <c r="S82" s="9" t="inlineStr">
        <is>
          <t>CVT-695361</t>
        </is>
      </c>
      <c r="T82" s="9" t="inlineStr">
        <is>
          <t>EXP-2026-807160</t>
        </is>
      </c>
      <c r="U82" s="9" t="inlineStr">
        <is>
          <t>Y</t>
        </is>
      </c>
      <c r="V82" s="9" t="n">
        <v>4</v>
      </c>
      <c r="W82" s="9" t="inlineStr">
        <is>
          <t>Y</t>
        </is>
      </c>
      <c r="X82" s="9" t="inlineStr">
        <is>
          <t>Approved</t>
        </is>
      </c>
      <c r="Y82" s="10">
        <f>IF(OR(ISBLANK(A82), ISBLANK(D82), ISBLANK(E82)), "FAIL", "PASS")</f>
        <v/>
      </c>
      <c r="Z82" s="10">
        <f>IF(H82&lt;G82, "FAIL", "PASS")</f>
        <v/>
      </c>
      <c r="AA82" s="10">
        <f>IF(AND(O82&gt;0, S82=""), "FAIL", "PASS")</f>
        <v/>
      </c>
      <c r="AB82" s="10">
        <f>IF(AND(F82="US", O82&gt;0, P82=""), "FAIL", "PASS")</f>
        <v/>
      </c>
      <c r="AC82" s="10">
        <f>IF(AND(OR(M82="Amex_BTA_Ghost", M82="Single_Use_Virtual_Card"), N82="N"), "FAIL", "PASS")</f>
        <v/>
      </c>
      <c r="AD82" s="10">
        <f>IF(OR(U82="N", V82&gt;14), "FAIL", "PASS")</f>
        <v/>
      </c>
      <c r="AE82" s="10">
        <f>IF(J82&gt;25, "FAIL", "PASS")</f>
        <v/>
      </c>
      <c r="AF82" s="10">
        <f>IF(COUNTIF(Y82:AE82, "FAIL")=0, "CLEAN", "FLAGGED")</f>
        <v/>
      </c>
    </row>
    <row r="83">
      <c r="A83" s="9" t="inlineStr">
        <is>
          <t>MTG-2026-10077</t>
        </is>
      </c>
      <c r="B83" s="9" t="inlineStr">
        <is>
          <t>Vaccines_Infectious</t>
        </is>
      </c>
      <c r="C83" s="9" t="inlineStr">
        <is>
          <t>Internal_Sales_Rally</t>
        </is>
      </c>
      <c r="D83" s="9" t="inlineStr">
        <is>
          <t>CC-VAC-6311</t>
        </is>
      </c>
      <c r="E83" s="9" t="inlineStr">
        <is>
          <t>WBS-VAC-205-GLB</t>
        </is>
      </c>
      <c r="F83" s="9" t="inlineStr">
        <is>
          <t>DE</t>
        </is>
      </c>
      <c r="G83" s="9" t="inlineStr">
        <is>
          <t>2026-08-14</t>
        </is>
      </c>
      <c r="H83" s="9" t="inlineStr">
        <is>
          <t>2026-08-18</t>
        </is>
      </c>
      <c r="I83" s="9" t="n">
        <v>83</v>
      </c>
      <c r="J83" s="9" t="n">
        <v>8.17</v>
      </c>
      <c r="K83" s="9" t="n">
        <v>156845.48</v>
      </c>
      <c r="L83" s="9" t="n">
        <v>145000</v>
      </c>
      <c r="M83" s="9" t="inlineStr">
        <is>
          <t>Corporate_T&amp;E_Card</t>
        </is>
      </c>
      <c r="N83" s="9" t="inlineStr">
        <is>
          <t>Y</t>
        </is>
      </c>
      <c r="O83" s="9" t="n">
        <v>0</v>
      </c>
      <c r="P83" s="9" t="inlineStr"/>
      <c r="Q83" s="9" t="inlineStr">
        <is>
          <t>nan</t>
        </is>
      </c>
      <c r="R83" s="9" t="inlineStr">
        <is>
          <t>N</t>
        </is>
      </c>
      <c r="S83" s="9" t="inlineStr">
        <is>
          <t>CVT-293757</t>
        </is>
      </c>
      <c r="T83" s="9" t="inlineStr">
        <is>
          <t>EXP-2026-247442</t>
        </is>
      </c>
      <c r="U83" s="9" t="inlineStr">
        <is>
          <t>Y</t>
        </is>
      </c>
      <c r="V83" s="9" t="n">
        <v>5</v>
      </c>
      <c r="W83" s="9" t="inlineStr">
        <is>
          <t>N</t>
        </is>
      </c>
      <c r="X83" s="9" t="inlineStr">
        <is>
          <t>Approved</t>
        </is>
      </c>
      <c r="Y83" s="10">
        <f>IF(OR(ISBLANK(A83), ISBLANK(D83), ISBLANK(E83)), "FAIL", "PASS")</f>
        <v/>
      </c>
      <c r="Z83" s="10">
        <f>IF(H83&lt;G83, "FAIL", "PASS")</f>
        <v/>
      </c>
      <c r="AA83" s="10">
        <f>IF(AND(O83&gt;0, S83=""), "FAIL", "PASS")</f>
        <v/>
      </c>
      <c r="AB83" s="10">
        <f>IF(AND(F83="US", O83&gt;0, P83=""), "FAIL", "PASS")</f>
        <v/>
      </c>
      <c r="AC83" s="10">
        <f>IF(AND(OR(M83="Amex_BTA_Ghost", M83="Single_Use_Virtual_Card"), N83="N"), "FAIL", "PASS")</f>
        <v/>
      </c>
      <c r="AD83" s="10">
        <f>IF(OR(U83="N", V83&gt;14), "FAIL", "PASS")</f>
        <v/>
      </c>
      <c r="AE83" s="10">
        <f>IF(J83&gt;25, "FAIL", "PASS")</f>
        <v/>
      </c>
      <c r="AF83" s="10">
        <f>IF(COUNTIF(Y83:AE83, "FAIL")=0, "CLEAN", "FLAGGED")</f>
        <v/>
      </c>
    </row>
    <row r="84">
      <c r="A84" s="9" t="inlineStr">
        <is>
          <t>MTG-2026-10078</t>
        </is>
      </c>
      <c r="B84" s="9" t="inlineStr">
        <is>
          <t>Rare_Disease</t>
        </is>
      </c>
      <c r="C84" s="9" t="inlineStr">
        <is>
          <t>Medical_Symposium</t>
        </is>
      </c>
      <c r="D84" s="9" t="inlineStr">
        <is>
          <t>CC-RD-9014</t>
        </is>
      </c>
      <c r="E84" s="9" t="inlineStr">
        <is>
          <t>WBS-RD-401-REG</t>
        </is>
      </c>
      <c r="F84" s="9" t="inlineStr">
        <is>
          <t>GB</t>
        </is>
      </c>
      <c r="G84" s="9" t="inlineStr">
        <is>
          <t>2026-09-16</t>
        </is>
      </c>
      <c r="H84" s="9" t="inlineStr">
        <is>
          <t>2026-09-19</t>
        </is>
      </c>
      <c r="I84" s="9" t="n">
        <v>56</v>
      </c>
      <c r="J84" s="9" t="n">
        <v>0.8</v>
      </c>
      <c r="K84" s="9" t="n">
        <v>140218.68</v>
      </c>
      <c r="L84" s="9" t="n">
        <v>139100</v>
      </c>
      <c r="M84" s="9" t="inlineStr">
        <is>
          <t>Amex_BTA_Ghost</t>
        </is>
      </c>
      <c r="N84" s="9" t="inlineStr">
        <is>
          <t>Y</t>
        </is>
      </c>
      <c r="O84" s="9" t="n">
        <v>27</v>
      </c>
      <c r="P84" s="9" t="inlineStr">
        <is>
          <t>EFPIA-GB-826420;EFPIA-GB-347781;EFPIA-GB-165142;EFPIA-GB-800224;EFPIA-GB-223967;EFPIA-GB-588002;EFPIA-GB-421709;EFPIA-GB-267475;EFPIA-GB-525110;EFPIA-GB-819400;EFPIA-GB-626930;EFPIA-GB-837733;EFPIA-GB-907236;EFPIA-GB-426084;EFPIA-GB-823821;EFPIA-GB-223119;EFPIA-GB-769737;EFPIA-GB-409369;EFPIA-GB-485397;EFPIA-GB-744481;EFPIA-GB-331577;EFPIA-GB-329772;EFPIA-GB-240057;EFPIA-GB-601410;EFPIA-GB-260626;EFPIA-GB-577079;EFPIA-GB-884056</t>
        </is>
      </c>
      <c r="Q84" s="9" t="inlineStr">
        <is>
          <t>Y</t>
        </is>
      </c>
      <c r="R84" s="9" t="inlineStr">
        <is>
          <t>N</t>
        </is>
      </c>
      <c r="S84" s="9" t="inlineStr">
        <is>
          <t>CVT-491774</t>
        </is>
      </c>
      <c r="T84" s="9" t="inlineStr">
        <is>
          <t>EXP-2026-536045</t>
        </is>
      </c>
      <c r="U84" s="9" t="inlineStr">
        <is>
          <t>Y</t>
        </is>
      </c>
      <c r="V84" s="9" t="n">
        <v>9</v>
      </c>
      <c r="W84" s="9" t="inlineStr">
        <is>
          <t>Y</t>
        </is>
      </c>
      <c r="X84" s="9" t="inlineStr">
        <is>
          <t>Approved</t>
        </is>
      </c>
      <c r="Y84" s="10">
        <f>IF(OR(ISBLANK(A84), ISBLANK(D84), ISBLANK(E84)), "FAIL", "PASS")</f>
        <v/>
      </c>
      <c r="Z84" s="10">
        <f>IF(H84&lt;G84, "FAIL", "PASS")</f>
        <v/>
      </c>
      <c r="AA84" s="10">
        <f>IF(AND(O84&gt;0, S84=""), "FAIL", "PASS")</f>
        <v/>
      </c>
      <c r="AB84" s="10">
        <f>IF(AND(F84="US", O84&gt;0, P84=""), "FAIL", "PASS")</f>
        <v/>
      </c>
      <c r="AC84" s="10">
        <f>IF(AND(OR(M84="Amex_BTA_Ghost", M84="Single_Use_Virtual_Card"), N84="N"), "FAIL", "PASS")</f>
        <v/>
      </c>
      <c r="AD84" s="10">
        <f>IF(OR(U84="N", V84&gt;14), "FAIL", "PASS")</f>
        <v/>
      </c>
      <c r="AE84" s="10">
        <f>IF(J84&gt;25, "FAIL", "PASS")</f>
        <v/>
      </c>
      <c r="AF84" s="10">
        <f>IF(COUNTIF(Y84:AE84, "FAIL")=0, "CLEAN", "FLAGGED")</f>
        <v/>
      </c>
    </row>
    <row r="85">
      <c r="A85" s="9" t="inlineStr">
        <is>
          <t>MTG-2026-10079</t>
        </is>
      </c>
      <c r="B85" s="9" t="inlineStr">
        <is>
          <t>Immunology_Inflammation</t>
        </is>
      </c>
      <c r="C85" s="9" t="inlineStr">
        <is>
          <t>Advisory_Board</t>
        </is>
      </c>
      <c r="D85" s="9" t="inlineStr">
        <is>
          <t>CC-IMM-4102</t>
        </is>
      </c>
      <c r="E85" s="9" t="inlineStr">
        <is>
          <t>WBS-IMM-108-PH3</t>
        </is>
      </c>
      <c r="F85" s="9" t="inlineStr">
        <is>
          <t>DE</t>
        </is>
      </c>
      <c r="G85" s="9" t="inlineStr">
        <is>
          <t>2026-07-29</t>
        </is>
      </c>
      <c r="H85" s="9" t="inlineStr">
        <is>
          <t>2026-07-31</t>
        </is>
      </c>
      <c r="I85" s="9" t="n">
        <v>28</v>
      </c>
      <c r="J85" s="9" t="n">
        <v>6.1</v>
      </c>
      <c r="K85" s="9" t="n">
        <v>56974.58</v>
      </c>
      <c r="L85" s="9" t="n">
        <v>53700</v>
      </c>
      <c r="M85" s="9" t="inlineStr">
        <is>
          <t>Single_Use_Virtual_Card</t>
        </is>
      </c>
      <c r="N85" s="9" t="inlineStr">
        <is>
          <t>Y</t>
        </is>
      </c>
      <c r="O85" s="9" t="n">
        <v>8</v>
      </c>
      <c r="P85" s="9" t="inlineStr">
        <is>
          <t>EFPIA-DE-691573;EFPIA-DE-217659;EFPIA-DE-164758;EFPIA-DE-969032;EFPIA-DE-674251;EFPIA-DE-630041;EFPIA-DE-311976;EFPIA-DE-700521</t>
        </is>
      </c>
      <c r="Q85" s="9" t="inlineStr">
        <is>
          <t>Y</t>
        </is>
      </c>
      <c r="R85" s="9" t="inlineStr">
        <is>
          <t>N</t>
        </is>
      </c>
      <c r="S85" s="9" t="inlineStr">
        <is>
          <t>CVT-272529</t>
        </is>
      </c>
      <c r="T85" s="9" t="inlineStr">
        <is>
          <t>EXP-2026-444056</t>
        </is>
      </c>
      <c r="U85" s="9" t="inlineStr">
        <is>
          <t>Y</t>
        </is>
      </c>
      <c r="V85" s="9" t="n">
        <v>9</v>
      </c>
      <c r="W85" s="9" t="inlineStr">
        <is>
          <t>Y</t>
        </is>
      </c>
      <c r="X85" s="9" t="inlineStr">
        <is>
          <t>Approved</t>
        </is>
      </c>
      <c r="Y85" s="10">
        <f>IF(OR(ISBLANK(A85), ISBLANK(D85), ISBLANK(E85)), "FAIL", "PASS")</f>
        <v/>
      </c>
      <c r="Z85" s="10">
        <f>IF(H85&lt;G85, "FAIL", "PASS")</f>
        <v/>
      </c>
      <c r="AA85" s="10">
        <f>IF(AND(O85&gt;0, S85=""), "FAIL", "PASS")</f>
        <v/>
      </c>
      <c r="AB85" s="10">
        <f>IF(AND(F85="US", O85&gt;0, P85=""), "FAIL", "PASS")</f>
        <v/>
      </c>
      <c r="AC85" s="10">
        <f>IF(AND(OR(M85="Amex_BTA_Ghost", M85="Single_Use_Virtual_Card"), N85="N"), "FAIL", "PASS")</f>
        <v/>
      </c>
      <c r="AD85" s="10">
        <f>IF(OR(U85="N", V85&gt;14), "FAIL", "PASS")</f>
        <v/>
      </c>
      <c r="AE85" s="10">
        <f>IF(J85&gt;25, "FAIL", "PASS")</f>
        <v/>
      </c>
      <c r="AF85" s="10">
        <f>IF(COUNTIF(Y85:AE85, "FAIL")=0, "CLEAN", "FLAGGED")</f>
        <v/>
      </c>
    </row>
    <row r="86">
      <c r="A86" s="9" t="inlineStr">
        <is>
          <t>MTG-2026-10080</t>
        </is>
      </c>
      <c r="B86" s="9" t="inlineStr">
        <is>
          <t>Oncology</t>
        </is>
      </c>
      <c r="C86" s="9" t="inlineStr">
        <is>
          <t>Advisory_Board</t>
        </is>
      </c>
      <c r="D86" s="9" t="inlineStr">
        <is>
          <t>CC-ONC-8821</t>
        </is>
      </c>
      <c r="E86" s="9" t="inlineStr">
        <is>
          <t>WBS-ONC-302-CLIN</t>
        </is>
      </c>
      <c r="F86" s="9" t="inlineStr">
        <is>
          <t>DE</t>
        </is>
      </c>
      <c r="G86" s="9" t="inlineStr">
        <is>
          <t>2026-09-02</t>
        </is>
      </c>
      <c r="H86" s="9" t="inlineStr">
        <is>
          <t>2026-09-06</t>
        </is>
      </c>
      <c r="I86" s="9" t="n">
        <v>25</v>
      </c>
      <c r="J86" s="9" t="n">
        <v>8.109999999999999</v>
      </c>
      <c r="K86" s="9" t="n">
        <v>108003.7</v>
      </c>
      <c r="L86" s="9" t="n">
        <v>99900</v>
      </c>
      <c r="M86" s="9" t="inlineStr">
        <is>
          <t>Single_Use_Virtual_Card</t>
        </is>
      </c>
      <c r="N86" s="9" t="inlineStr">
        <is>
          <t>Y</t>
        </is>
      </c>
      <c r="O86" s="9" t="n">
        <v>7</v>
      </c>
      <c r="P86" s="9" t="inlineStr">
        <is>
          <t>EFPIA-DE-685941;EFPIA-DE-584838;EFPIA-DE-805448;EFPIA-DE-946112;EFPIA-DE-423139;EFPIA-DE-858414;EFPIA-DE-122827</t>
        </is>
      </c>
      <c r="Q86" s="9" t="inlineStr">
        <is>
          <t>Y</t>
        </is>
      </c>
      <c r="R86" s="9" t="inlineStr">
        <is>
          <t>N</t>
        </is>
      </c>
      <c r="S86" s="9" t="inlineStr">
        <is>
          <t>CVT-956113</t>
        </is>
      </c>
      <c r="T86" s="9" t="inlineStr">
        <is>
          <t>EXP-2026-103161</t>
        </is>
      </c>
      <c r="U86" s="9" t="inlineStr">
        <is>
          <t>Y</t>
        </is>
      </c>
      <c r="V86" s="9" t="n">
        <v>11</v>
      </c>
      <c r="W86" s="9" t="inlineStr">
        <is>
          <t>Y</t>
        </is>
      </c>
      <c r="X86" s="9" t="inlineStr">
        <is>
          <t>Approved</t>
        </is>
      </c>
      <c r="Y86" s="10">
        <f>IF(OR(ISBLANK(A86), ISBLANK(D86), ISBLANK(E86)), "FAIL", "PASS")</f>
        <v/>
      </c>
      <c r="Z86" s="10">
        <f>IF(H86&lt;G86, "FAIL", "PASS")</f>
        <v/>
      </c>
      <c r="AA86" s="10">
        <f>IF(AND(O86&gt;0, S86=""), "FAIL", "PASS")</f>
        <v/>
      </c>
      <c r="AB86" s="10">
        <f>IF(AND(F86="US", O86&gt;0, P86=""), "FAIL", "PASS")</f>
        <v/>
      </c>
      <c r="AC86" s="10">
        <f>IF(AND(OR(M86="Amex_BTA_Ghost", M86="Single_Use_Virtual_Card"), N86="N"), "FAIL", "PASS")</f>
        <v/>
      </c>
      <c r="AD86" s="10">
        <f>IF(OR(U86="N", V86&gt;14), "FAIL", "PASS")</f>
        <v/>
      </c>
      <c r="AE86" s="10">
        <f>IF(J86&gt;25, "FAIL", "PASS")</f>
        <v/>
      </c>
      <c r="AF86" s="10">
        <f>IF(COUNTIF(Y86:AE86, "FAIL")=0, "CLEAN", "FLAGGED")</f>
        <v/>
      </c>
    </row>
    <row r="87">
      <c r="A87" s="9" t="inlineStr">
        <is>
          <t>MTG-2026-10081</t>
        </is>
      </c>
      <c r="B87" s="9" t="inlineStr">
        <is>
          <t>Oncology</t>
        </is>
      </c>
      <c r="C87" s="9" t="inlineStr">
        <is>
          <t>Satellite_Symposium</t>
        </is>
      </c>
      <c r="D87" s="9" t="inlineStr">
        <is>
          <t>CC-ONC-8821</t>
        </is>
      </c>
      <c r="E87" s="9" t="inlineStr">
        <is>
          <t>WBS-ONC-302-CLIN</t>
        </is>
      </c>
      <c r="F87" s="9" t="inlineStr">
        <is>
          <t>CH</t>
        </is>
      </c>
      <c r="G87" s="9" t="inlineStr">
        <is>
          <t>2026-09-11</t>
        </is>
      </c>
      <c r="H87" s="9" t="inlineStr">
        <is>
          <t>2026-09-12</t>
        </is>
      </c>
      <c r="I87" s="9" t="n">
        <v>78</v>
      </c>
      <c r="J87" s="9" t="n">
        <v>6.9</v>
      </c>
      <c r="K87" s="9" t="n">
        <v>66921.58</v>
      </c>
      <c r="L87" s="9" t="n">
        <v>62600</v>
      </c>
      <c r="M87" s="9" t="inlineStr">
        <is>
          <t>Direct_Invoice_PO</t>
        </is>
      </c>
      <c r="N87" s="9" t="inlineStr">
        <is>
          <t>Y</t>
        </is>
      </c>
      <c r="O87" s="9" t="n">
        <v>12</v>
      </c>
      <c r="P87" s="9" t="inlineStr">
        <is>
          <t>EFPIA-CH-903028;EFPIA-CH-772687;EFPIA-CH-864715;EFPIA-CH-777255;EFPIA-CH-540781;EFPIA-CH-492650;EFPIA-CH-501058;EFPIA-CH-570325;EFPIA-CH-495833;EFPIA-CH-493892;EFPIA-CH-184148;EFPIA-CH-815894</t>
        </is>
      </c>
      <c r="Q87" s="9" t="inlineStr">
        <is>
          <t>Y</t>
        </is>
      </c>
      <c r="R87" s="9" t="inlineStr">
        <is>
          <t>N</t>
        </is>
      </c>
      <c r="S87" s="9" t="inlineStr">
        <is>
          <t>CVT-665497</t>
        </is>
      </c>
      <c r="T87" s="9" t="inlineStr">
        <is>
          <t>EXP-2026-239449</t>
        </is>
      </c>
      <c r="U87" s="9" t="inlineStr">
        <is>
          <t>Y</t>
        </is>
      </c>
      <c r="V87" s="9" t="n">
        <v>7</v>
      </c>
      <c r="W87" s="9" t="inlineStr">
        <is>
          <t>Y</t>
        </is>
      </c>
      <c r="X87" s="9" t="inlineStr">
        <is>
          <t>Approved</t>
        </is>
      </c>
      <c r="Y87" s="10">
        <f>IF(OR(ISBLANK(A87), ISBLANK(D87), ISBLANK(E87)), "FAIL", "PASS")</f>
        <v/>
      </c>
      <c r="Z87" s="10">
        <f>IF(H87&lt;G87, "FAIL", "PASS")</f>
        <v/>
      </c>
      <c r="AA87" s="10">
        <f>IF(AND(O87&gt;0, S87=""), "FAIL", "PASS")</f>
        <v/>
      </c>
      <c r="AB87" s="10">
        <f>IF(AND(F87="US", O87&gt;0, P87=""), "FAIL", "PASS")</f>
        <v/>
      </c>
      <c r="AC87" s="10">
        <f>IF(AND(OR(M87="Amex_BTA_Ghost", M87="Single_Use_Virtual_Card"), N87="N"), "FAIL", "PASS")</f>
        <v/>
      </c>
      <c r="AD87" s="10">
        <f>IF(OR(U87="N", V87&gt;14), "FAIL", "PASS")</f>
        <v/>
      </c>
      <c r="AE87" s="10">
        <f>IF(J87&gt;25, "FAIL", "PASS")</f>
        <v/>
      </c>
      <c r="AF87" s="10">
        <f>IF(COUNTIF(Y87:AE87, "FAIL")=0, "CLEAN", "FLAGGED")</f>
        <v/>
      </c>
    </row>
    <row r="88">
      <c r="A88" s="9" t="inlineStr">
        <is>
          <t>MTG-2026-10082</t>
        </is>
      </c>
      <c r="B88" s="9" t="inlineStr">
        <is>
          <t>Immunology_Inflammation</t>
        </is>
      </c>
      <c r="C88" s="9" t="inlineStr">
        <is>
          <t>Investigator_Meeting</t>
        </is>
      </c>
      <c r="D88" s="9" t="inlineStr">
        <is>
          <t>CC-IMM-4102</t>
        </is>
      </c>
      <c r="E88" s="9" t="inlineStr">
        <is>
          <t>WBS-ONC-302-CLIN</t>
        </is>
      </c>
      <c r="F88" s="9" t="inlineStr">
        <is>
          <t>US</t>
        </is>
      </c>
      <c r="G88" s="9" t="inlineStr">
        <is>
          <t>2026-07-20</t>
        </is>
      </c>
      <c r="H88" s="9" t="inlineStr">
        <is>
          <t>2026-07-22</t>
        </is>
      </c>
      <c r="I88" s="9" t="n">
        <v>18</v>
      </c>
      <c r="J88" s="9" t="n">
        <v>2.96</v>
      </c>
      <c r="K88" s="9" t="n">
        <v>242570.88</v>
      </c>
      <c r="L88" s="9" t="n">
        <v>235600</v>
      </c>
      <c r="M88" s="9" t="inlineStr">
        <is>
          <t>Direct_Invoice_PO</t>
        </is>
      </c>
      <c r="N88" s="9" t="inlineStr">
        <is>
          <t>Y</t>
        </is>
      </c>
      <c r="O88" s="9" t="n">
        <v>31</v>
      </c>
      <c r="P88" s="9" t="inlineStr">
        <is>
          <t>1671159367;1507245006;1984076542;1346599912;1365764028;1594592624;1471686188;1266560311;1395976645;1302379343;1878488534;1921938559;1221166014;1134593072;1969170578;1808881871;1550156166;1760268760;1922543647;1116799547;1358413465;1321278458;1172253060;1208337018;1737742679;1136052248;1579362443;1741866641;1821579885;1855147872;1152265802</t>
        </is>
      </c>
      <c r="Q88" s="9" t="inlineStr">
        <is>
          <t>N</t>
        </is>
      </c>
      <c r="R88" s="9" t="inlineStr">
        <is>
          <t>Y</t>
        </is>
      </c>
      <c r="S88" s="9" t="inlineStr">
        <is>
          <t>CVT-146385</t>
        </is>
      </c>
      <c r="T88" s="9" t="inlineStr">
        <is>
          <t>EXP-2026-521805</t>
        </is>
      </c>
      <c r="U88" s="9" t="inlineStr">
        <is>
          <t>Y</t>
        </is>
      </c>
      <c r="V88" s="9" t="n">
        <v>10</v>
      </c>
      <c r="W88" s="9" t="inlineStr">
        <is>
          <t>Y</t>
        </is>
      </c>
      <c r="X88" s="9" t="inlineStr">
        <is>
          <t>Approved</t>
        </is>
      </c>
      <c r="Y88" s="10">
        <f>IF(OR(ISBLANK(A88), ISBLANK(D88), ISBLANK(E88)), "FAIL", "PASS")</f>
        <v/>
      </c>
      <c r="Z88" s="10">
        <f>IF(H88&lt;G88, "FAIL", "PASS")</f>
        <v/>
      </c>
      <c r="AA88" s="10">
        <f>IF(AND(O88&gt;0, S88=""), "FAIL", "PASS")</f>
        <v/>
      </c>
      <c r="AB88" s="10">
        <f>IF(AND(F88="US", O88&gt;0, P88=""), "FAIL", "PASS")</f>
        <v/>
      </c>
      <c r="AC88" s="10">
        <f>IF(AND(OR(M88="Amex_BTA_Ghost", M88="Single_Use_Virtual_Card"), N88="N"), "FAIL", "PASS")</f>
        <v/>
      </c>
      <c r="AD88" s="10">
        <f>IF(OR(U88="N", V88&gt;14), "FAIL", "PASS")</f>
        <v/>
      </c>
      <c r="AE88" s="10">
        <f>IF(J88&gt;25, "FAIL", "PASS")</f>
        <v/>
      </c>
      <c r="AF88" s="10">
        <f>IF(COUNTIF(Y88:AE88, "FAIL")=0, "CLEAN", "FLAGGED")</f>
        <v/>
      </c>
    </row>
    <row r="89">
      <c r="A89" s="9" t="inlineStr">
        <is>
          <t>MTG-2026-10083</t>
        </is>
      </c>
      <c r="B89" s="9" t="inlineStr">
        <is>
          <t>Rare_Disease</t>
        </is>
      </c>
      <c r="C89" s="9" t="inlineStr">
        <is>
          <t>Investigator_Meeting</t>
        </is>
      </c>
      <c r="D89" s="9" t="inlineStr">
        <is>
          <t>CC-RD-9014</t>
        </is>
      </c>
      <c r="E89" s="9" t="inlineStr">
        <is>
          <t>WBS-RD-401-REG</t>
        </is>
      </c>
      <c r="F89" s="9" t="inlineStr">
        <is>
          <t>CH</t>
        </is>
      </c>
      <c r="G89" s="9" t="inlineStr">
        <is>
          <t>2026-03-15</t>
        </is>
      </c>
      <c r="H89" s="9" t="inlineStr">
        <is>
          <t>2026-03-18</t>
        </is>
      </c>
      <c r="I89" s="9" t="n">
        <v>59</v>
      </c>
      <c r="J89" s="9" t="n">
        <v>6.22</v>
      </c>
      <c r="K89" s="9" t="n">
        <v>197879.53</v>
      </c>
      <c r="L89" s="9" t="n">
        <v>186300</v>
      </c>
      <c r="M89" s="9" t="inlineStr">
        <is>
          <t>Direct_Invoice_PO</t>
        </is>
      </c>
      <c r="N89" s="9" t="inlineStr">
        <is>
          <t>Y</t>
        </is>
      </c>
      <c r="O89" s="9" t="n">
        <v>18</v>
      </c>
      <c r="P89" s="9" t="inlineStr">
        <is>
          <t>EFPIA-CH-533649;EFPIA-CH-415098;EFPIA-CH-388519;EFPIA-CH-163918;EFPIA-CH-683761;EFPIA-CH-720407;EFPIA-CH-870925;EFPIA-CH-283640;EFPIA-CH-756401;EFPIA-CH-811721;EFPIA-CH-547952;EFPIA-CH-682851;EFPIA-CH-619696;EFPIA-CH-149161;EFPIA-CH-461145;EFPIA-CH-774565;EFPIA-CH-803953;EFPIA-CH-499669</t>
        </is>
      </c>
      <c r="Q89" s="9" t="inlineStr">
        <is>
          <t>Y</t>
        </is>
      </c>
      <c r="R89" s="9" t="inlineStr">
        <is>
          <t>N</t>
        </is>
      </c>
      <c r="S89" s="9" t="inlineStr">
        <is>
          <t>CVT-434217</t>
        </is>
      </c>
      <c r="T89" s="9" t="inlineStr">
        <is>
          <t>EXP-2026-830132</t>
        </is>
      </c>
      <c r="U89" s="9" t="inlineStr">
        <is>
          <t>Y</t>
        </is>
      </c>
      <c r="V89" s="9" t="n">
        <v>4</v>
      </c>
      <c r="W89" s="9" t="inlineStr">
        <is>
          <t>Y</t>
        </is>
      </c>
      <c r="X89" s="9" t="inlineStr">
        <is>
          <t>Approved</t>
        </is>
      </c>
      <c r="Y89" s="10">
        <f>IF(OR(ISBLANK(A89), ISBLANK(D89), ISBLANK(E89)), "FAIL", "PASS")</f>
        <v/>
      </c>
      <c r="Z89" s="10">
        <f>IF(H89&lt;G89, "FAIL", "PASS")</f>
        <v/>
      </c>
      <c r="AA89" s="10">
        <f>IF(AND(O89&gt;0, S89=""), "FAIL", "PASS")</f>
        <v/>
      </c>
      <c r="AB89" s="10">
        <f>IF(AND(F89="US", O89&gt;0, P89=""), "FAIL", "PASS")</f>
        <v/>
      </c>
      <c r="AC89" s="10">
        <f>IF(AND(OR(M89="Amex_BTA_Ghost", M89="Single_Use_Virtual_Card"), N89="N"), "FAIL", "PASS")</f>
        <v/>
      </c>
      <c r="AD89" s="10">
        <f>IF(OR(U89="N", V89&gt;14), "FAIL", "PASS")</f>
        <v/>
      </c>
      <c r="AE89" s="10">
        <f>IF(J89&gt;25, "FAIL", "PASS")</f>
        <v/>
      </c>
      <c r="AF89" s="10">
        <f>IF(COUNTIF(Y89:AE89, "FAIL")=0, "CLEAN", "FLAGGED")</f>
        <v/>
      </c>
    </row>
    <row r="90">
      <c r="A90" s="9" t="inlineStr">
        <is>
          <t>MTG-2026-10084</t>
        </is>
      </c>
      <c r="B90" s="9" t="inlineStr">
        <is>
          <t>Immunology_Inflammation</t>
        </is>
      </c>
      <c r="C90" s="9" t="inlineStr">
        <is>
          <t>Internal_Sales_Rally</t>
        </is>
      </c>
      <c r="D90" s="9" t="inlineStr">
        <is>
          <t>CC-IMM-4102</t>
        </is>
      </c>
      <c r="E90" s="9" t="inlineStr">
        <is>
          <t>WBS-RD-401-REG</t>
        </is>
      </c>
      <c r="F90" s="9" t="inlineStr">
        <is>
          <t>US</t>
        </is>
      </c>
      <c r="G90" s="9" t="inlineStr">
        <is>
          <t>2026-08-20</t>
        </is>
      </c>
      <c r="H90" s="9" t="inlineStr">
        <is>
          <t>2026-08-18</t>
        </is>
      </c>
      <c r="I90" s="9" t="n">
        <v>56</v>
      </c>
      <c r="J90" s="9" t="n">
        <v>9.029999999999999</v>
      </c>
      <c r="K90" s="9" t="n">
        <v>140535.72</v>
      </c>
      <c r="L90" s="9" t="n">
        <v>128900</v>
      </c>
      <c r="M90" s="9" t="inlineStr">
        <is>
          <t>Single_Use_Virtual_Card</t>
        </is>
      </c>
      <c r="N90" s="9" t="inlineStr">
        <is>
          <t>Y</t>
        </is>
      </c>
      <c r="O90" s="9" t="n">
        <v>0</v>
      </c>
      <c r="P90" s="9" t="inlineStr"/>
      <c r="Q90" s="9" t="inlineStr">
        <is>
          <t>nan</t>
        </is>
      </c>
      <c r="R90" s="9" t="inlineStr">
        <is>
          <t>N</t>
        </is>
      </c>
      <c r="S90" s="9" t="inlineStr">
        <is>
          <t>CVT-160423</t>
        </is>
      </c>
      <c r="T90" s="9" t="inlineStr">
        <is>
          <t>EXP-2026-689704</t>
        </is>
      </c>
      <c r="U90" s="9" t="inlineStr">
        <is>
          <t>Y</t>
        </is>
      </c>
      <c r="V90" s="9" t="n">
        <v>8</v>
      </c>
      <c r="W90" s="9" t="inlineStr">
        <is>
          <t>N</t>
        </is>
      </c>
      <c r="X90" s="9" t="inlineStr">
        <is>
          <t>Approved</t>
        </is>
      </c>
      <c r="Y90" s="10">
        <f>IF(OR(ISBLANK(A90), ISBLANK(D90), ISBLANK(E90)), "FAIL", "PASS")</f>
        <v/>
      </c>
      <c r="Z90" s="10">
        <f>IF(H90&lt;G90, "FAIL", "PASS")</f>
        <v/>
      </c>
      <c r="AA90" s="10">
        <f>IF(AND(O90&gt;0, S90=""), "FAIL", "PASS")</f>
        <v/>
      </c>
      <c r="AB90" s="10">
        <f>IF(AND(F90="US", O90&gt;0, P90=""), "FAIL", "PASS")</f>
        <v/>
      </c>
      <c r="AC90" s="10">
        <f>IF(AND(OR(M90="Amex_BTA_Ghost", M90="Single_Use_Virtual_Card"), N90="N"), "FAIL", "PASS")</f>
        <v/>
      </c>
      <c r="AD90" s="10">
        <f>IF(OR(U90="N", V90&gt;14), "FAIL", "PASS")</f>
        <v/>
      </c>
      <c r="AE90" s="10">
        <f>IF(J90&gt;25, "FAIL", "PASS")</f>
        <v/>
      </c>
      <c r="AF90" s="10">
        <f>IF(COUNTIF(Y90:AE90, "FAIL")=0, "CLEAN", "FLAGGED")</f>
        <v/>
      </c>
    </row>
    <row r="91">
      <c r="A91" s="9" t="inlineStr">
        <is>
          <t>MTG-2026-10085</t>
        </is>
      </c>
      <c r="B91" s="9" t="inlineStr">
        <is>
          <t>Immunology_Inflammation</t>
        </is>
      </c>
      <c r="C91" s="9" t="inlineStr">
        <is>
          <t>Internal_Sales_Rally</t>
        </is>
      </c>
      <c r="D91" s="9" t="inlineStr">
        <is>
          <t>CC-IMM-4102</t>
        </is>
      </c>
      <c r="E91" s="9" t="inlineStr">
        <is>
          <t>WBS-IMM-108-PH3</t>
        </is>
      </c>
      <c r="F91" s="9" t="inlineStr">
        <is>
          <t>US</t>
        </is>
      </c>
      <c r="G91" s="9" t="inlineStr">
        <is>
          <t>2026-04-09</t>
        </is>
      </c>
      <c r="H91" s="9" t="inlineStr">
        <is>
          <t>2026-04-10</t>
        </is>
      </c>
      <c r="I91" s="9" t="n">
        <v>75</v>
      </c>
      <c r="J91" s="9" t="n">
        <v>9.18</v>
      </c>
      <c r="K91" s="9" t="n">
        <v>94438.28999999999</v>
      </c>
      <c r="L91" s="9" t="n">
        <v>86500</v>
      </c>
      <c r="M91" s="9" t="inlineStr">
        <is>
          <t>Single_Use_Virtual_Card</t>
        </is>
      </c>
      <c r="N91" s="9" t="inlineStr">
        <is>
          <t>Y</t>
        </is>
      </c>
      <c r="O91" s="9" t="n">
        <v>0</v>
      </c>
      <c r="P91" s="9" t="inlineStr"/>
      <c r="Q91" s="9" t="inlineStr">
        <is>
          <t>nan</t>
        </is>
      </c>
      <c r="R91" s="9" t="inlineStr">
        <is>
          <t>N</t>
        </is>
      </c>
      <c r="S91" s="9" t="inlineStr">
        <is>
          <t>CVT-969695</t>
        </is>
      </c>
      <c r="T91" s="9" t="inlineStr">
        <is>
          <t>EXP-2026-299734</t>
        </is>
      </c>
      <c r="U91" s="9" t="inlineStr">
        <is>
          <t>Y</t>
        </is>
      </c>
      <c r="V91" s="9" t="n">
        <v>8</v>
      </c>
      <c r="W91" s="9" t="inlineStr">
        <is>
          <t>N</t>
        </is>
      </c>
      <c r="X91" s="9" t="inlineStr">
        <is>
          <t>Approved</t>
        </is>
      </c>
      <c r="Y91" s="10">
        <f>IF(OR(ISBLANK(A91), ISBLANK(D91), ISBLANK(E91)), "FAIL", "PASS")</f>
        <v/>
      </c>
      <c r="Z91" s="10">
        <f>IF(H91&lt;G91, "FAIL", "PASS")</f>
        <v/>
      </c>
      <c r="AA91" s="10">
        <f>IF(AND(O91&gt;0, S91=""), "FAIL", "PASS")</f>
        <v/>
      </c>
      <c r="AB91" s="10">
        <f>IF(AND(F91="US", O91&gt;0, P91=""), "FAIL", "PASS")</f>
        <v/>
      </c>
      <c r="AC91" s="10">
        <f>IF(AND(OR(M91="Amex_BTA_Ghost", M91="Single_Use_Virtual_Card"), N91="N"), "FAIL", "PASS")</f>
        <v/>
      </c>
      <c r="AD91" s="10">
        <f>IF(OR(U91="N", V91&gt;14), "FAIL", "PASS")</f>
        <v/>
      </c>
      <c r="AE91" s="10">
        <f>IF(J91&gt;25, "FAIL", "PASS")</f>
        <v/>
      </c>
      <c r="AF91" s="10">
        <f>IF(COUNTIF(Y91:AE91, "FAIL")=0, "CLEAN", "FLAGGED")</f>
        <v/>
      </c>
    </row>
    <row r="92">
      <c r="A92" s="9" t="inlineStr">
        <is>
          <t>MTG-2026-10086</t>
        </is>
      </c>
      <c r="B92" s="9" t="inlineStr">
        <is>
          <t>Oncology</t>
        </is>
      </c>
      <c r="C92" s="9" t="inlineStr">
        <is>
          <t>Medical_Symposium</t>
        </is>
      </c>
      <c r="D92" s="9" t="inlineStr">
        <is>
          <t>CC-ONC-8821</t>
        </is>
      </c>
      <c r="E92" s="9" t="inlineStr">
        <is>
          <t>WBS-ONC-302-CLIN</t>
        </is>
      </c>
      <c r="F92" s="9" t="inlineStr">
        <is>
          <t>CH</t>
        </is>
      </c>
      <c r="G92" s="9" t="inlineStr">
        <is>
          <t>2026-03-04</t>
        </is>
      </c>
      <c r="H92" s="9" t="inlineStr">
        <is>
          <t>2026-03-06</t>
        </is>
      </c>
      <c r="I92" s="9" t="n">
        <v>79</v>
      </c>
      <c r="J92" s="9" t="n">
        <v>-3.26</v>
      </c>
      <c r="K92" s="9" t="n">
        <v>156228.21</v>
      </c>
      <c r="L92" s="9" t="n">
        <v>161500</v>
      </c>
      <c r="M92" s="9" t="inlineStr">
        <is>
          <t>Amex_BTA_Ghost</t>
        </is>
      </c>
      <c r="N92" s="9" t="inlineStr">
        <is>
          <t>Pending</t>
        </is>
      </c>
      <c r="O92" s="9" t="n">
        <v>4</v>
      </c>
      <c r="P92" s="9" t="inlineStr">
        <is>
          <t>EFPIA-CH-322096;EFPIA-CH-299254;EFPIA-CH-877493;EFPIA-CH-223014</t>
        </is>
      </c>
      <c r="Q92" s="9" t="inlineStr">
        <is>
          <t>Y</t>
        </is>
      </c>
      <c r="R92" s="9" t="inlineStr">
        <is>
          <t>N</t>
        </is>
      </c>
      <c r="S92" s="9" t="inlineStr">
        <is>
          <t>CVT-890973</t>
        </is>
      </c>
      <c r="T92" s="9" t="inlineStr">
        <is>
          <t>EXP-2026-602184</t>
        </is>
      </c>
      <c r="U92" s="9" t="inlineStr">
        <is>
          <t>Y</t>
        </is>
      </c>
      <c r="V92" s="9" t="n">
        <v>11</v>
      </c>
      <c r="W92" s="9" t="inlineStr">
        <is>
          <t>Y</t>
        </is>
      </c>
      <c r="X92" s="9" t="inlineStr">
        <is>
          <t>Approved</t>
        </is>
      </c>
      <c r="Y92" s="10">
        <f>IF(OR(ISBLANK(A92), ISBLANK(D92), ISBLANK(E92)), "FAIL", "PASS")</f>
        <v/>
      </c>
      <c r="Z92" s="10">
        <f>IF(H92&lt;G92, "FAIL", "PASS")</f>
        <v/>
      </c>
      <c r="AA92" s="10">
        <f>IF(AND(O92&gt;0, S92=""), "FAIL", "PASS")</f>
        <v/>
      </c>
      <c r="AB92" s="10">
        <f>IF(AND(F92="US", O92&gt;0, P92=""), "FAIL", "PASS")</f>
        <v/>
      </c>
      <c r="AC92" s="10">
        <f>IF(AND(OR(M92="Amex_BTA_Ghost", M92="Single_Use_Virtual_Card"), N92="N"), "FAIL", "PASS")</f>
        <v/>
      </c>
      <c r="AD92" s="10">
        <f>IF(OR(U92="N", V92&gt;14), "FAIL", "PASS")</f>
        <v/>
      </c>
      <c r="AE92" s="10">
        <f>IF(J92&gt;25, "FAIL", "PASS")</f>
        <v/>
      </c>
      <c r="AF92" s="10">
        <f>IF(COUNTIF(Y92:AE92, "FAIL")=0, "CLEAN", "FLAGGED")</f>
        <v/>
      </c>
    </row>
    <row r="93">
      <c r="A93" s="9" t="inlineStr">
        <is>
          <t>MTG-2026-10087</t>
        </is>
      </c>
      <c r="B93" s="9" t="inlineStr">
        <is>
          <t>Immunology_Inflammation</t>
        </is>
      </c>
      <c r="C93" s="9" t="inlineStr">
        <is>
          <t>Medical_Symposium</t>
        </is>
      </c>
      <c r="D93" s="9" t="inlineStr">
        <is>
          <t>CC-IMM-4102</t>
        </is>
      </c>
      <c r="E93" s="9" t="inlineStr">
        <is>
          <t>WBS-IMM-108-PH3</t>
        </is>
      </c>
      <c r="F93" s="9" t="inlineStr">
        <is>
          <t>US</t>
        </is>
      </c>
      <c r="G93" s="9" t="inlineStr">
        <is>
          <t>2026-06-05</t>
        </is>
      </c>
      <c r="H93" s="9" t="inlineStr">
        <is>
          <t>2026-06-08</t>
        </is>
      </c>
      <c r="I93" s="9" t="n">
        <v>54</v>
      </c>
      <c r="J93" s="9" t="n">
        <v>4.44</v>
      </c>
      <c r="K93" s="9" t="n">
        <v>94514.16</v>
      </c>
      <c r="L93" s="9" t="n">
        <v>90500</v>
      </c>
      <c r="M93" s="9" t="inlineStr">
        <is>
          <t>Amex_BTA_Ghost</t>
        </is>
      </c>
      <c r="N93" s="9" t="inlineStr">
        <is>
          <t>Y</t>
        </is>
      </c>
      <c r="O93" s="9" t="n">
        <v>23</v>
      </c>
      <c r="P93" s="9" t="inlineStr">
        <is>
          <t>1380849661;1486165467;1650632566;1633947427;1600368062;1205879779;1962017778;1875685667;1604111500;1917792874;1443847870;1318106480;1498041381;1435997460;1544454140;1149086585;1704006325;1337591250;1895913682;1256683320;1117415986;1380004069;1694113766</t>
        </is>
      </c>
      <c r="Q93" s="9" t="inlineStr">
        <is>
          <t>Y</t>
        </is>
      </c>
      <c r="R93" s="9" t="inlineStr">
        <is>
          <t>N</t>
        </is>
      </c>
      <c r="S93" s="9" t="inlineStr">
        <is>
          <t>CVT-707275</t>
        </is>
      </c>
      <c r="T93" s="9" t="inlineStr">
        <is>
          <t>EXP-2026-854987</t>
        </is>
      </c>
      <c r="U93" s="9" t="inlineStr">
        <is>
          <t>Y</t>
        </is>
      </c>
      <c r="V93" s="9" t="n">
        <v>4</v>
      </c>
      <c r="W93" s="9" t="inlineStr">
        <is>
          <t>Y</t>
        </is>
      </c>
      <c r="X93" s="9" t="inlineStr">
        <is>
          <t>Approved</t>
        </is>
      </c>
      <c r="Y93" s="10">
        <f>IF(OR(ISBLANK(A93), ISBLANK(D93), ISBLANK(E93)), "FAIL", "PASS")</f>
        <v/>
      </c>
      <c r="Z93" s="10">
        <f>IF(H93&lt;G93, "FAIL", "PASS")</f>
        <v/>
      </c>
      <c r="AA93" s="10">
        <f>IF(AND(O93&gt;0, S93=""), "FAIL", "PASS")</f>
        <v/>
      </c>
      <c r="AB93" s="10">
        <f>IF(AND(F93="US", O93&gt;0, P93=""), "FAIL", "PASS")</f>
        <v/>
      </c>
      <c r="AC93" s="10">
        <f>IF(AND(OR(M93="Amex_BTA_Ghost", M93="Single_Use_Virtual_Card"), N93="N"), "FAIL", "PASS")</f>
        <v/>
      </c>
      <c r="AD93" s="10">
        <f>IF(OR(U93="N", V93&gt;14), "FAIL", "PASS")</f>
        <v/>
      </c>
      <c r="AE93" s="10">
        <f>IF(J93&gt;25, "FAIL", "PASS")</f>
        <v/>
      </c>
      <c r="AF93" s="10">
        <f>IF(COUNTIF(Y93:AE93, "FAIL")=0, "CLEAN", "FLAGGED")</f>
        <v/>
      </c>
    </row>
    <row r="94">
      <c r="A94" s="9" t="inlineStr">
        <is>
          <t>MTG-2026-10088</t>
        </is>
      </c>
      <c r="B94" s="9" t="inlineStr">
        <is>
          <t>Immunology_Inflammation</t>
        </is>
      </c>
      <c r="C94" s="9" t="inlineStr">
        <is>
          <t>Satellite_Symposium</t>
        </is>
      </c>
      <c r="D94" s="9" t="inlineStr">
        <is>
          <t>CC-IMM-4102</t>
        </is>
      </c>
      <c r="E94" s="9" t="inlineStr">
        <is>
          <t>WBS-IMM-108-PH3</t>
        </is>
      </c>
      <c r="F94" s="9" t="inlineStr">
        <is>
          <t>US</t>
        </is>
      </c>
      <c r="G94" s="9" t="inlineStr">
        <is>
          <t>2026-05-22</t>
        </is>
      </c>
      <c r="H94" s="9" t="inlineStr">
        <is>
          <t>2026-05-25</t>
        </is>
      </c>
      <c r="I94" s="9" t="n">
        <v>50</v>
      </c>
      <c r="J94" s="9" t="n">
        <v>-16.78</v>
      </c>
      <c r="K94" s="9" t="n">
        <v>69408.46000000001</v>
      </c>
      <c r="L94" s="9" t="n">
        <v>83400</v>
      </c>
      <c r="M94" s="9" t="inlineStr">
        <is>
          <t>Amex_BTA_Ghost</t>
        </is>
      </c>
      <c r="N94" s="9" t="inlineStr">
        <is>
          <t>Pending</t>
        </is>
      </c>
      <c r="O94" s="9" t="n">
        <v>35</v>
      </c>
      <c r="P94" s="9" t="inlineStr">
        <is>
          <t>1594811370;1280639501;1886808192;1953598460;1478146284;1281747678;1250279322;1873430762;1686849648;1624325659;1297619784;1682115008;1789137659;1163063063;1662581035;1136317983;1179811669;1978316418;1817490982;1152091933;1920702588;1106854580;1542802779;1247630403;1777210736;1348499712;1172980019;1859317542;1262166848;1109815572;1334848459;1643026584;1589636644;1500721199;1164907817</t>
        </is>
      </c>
      <c r="Q94" s="9" t="inlineStr">
        <is>
          <t>Y</t>
        </is>
      </c>
      <c r="R94" s="9" t="inlineStr">
        <is>
          <t>N</t>
        </is>
      </c>
      <c r="S94" s="9" t="inlineStr">
        <is>
          <t>CVT-799143</t>
        </is>
      </c>
      <c r="T94" s="9" t="inlineStr">
        <is>
          <t>EXP-2026-746467</t>
        </is>
      </c>
      <c r="U94" s="9" t="inlineStr">
        <is>
          <t>Y</t>
        </is>
      </c>
      <c r="V94" s="9" t="n">
        <v>9</v>
      </c>
      <c r="W94" s="9" t="inlineStr">
        <is>
          <t>Y</t>
        </is>
      </c>
      <c r="X94" s="9" t="inlineStr">
        <is>
          <t>Approved</t>
        </is>
      </c>
      <c r="Y94" s="10">
        <f>IF(OR(ISBLANK(A94), ISBLANK(D94), ISBLANK(E94)), "FAIL", "PASS")</f>
        <v/>
      </c>
      <c r="Z94" s="10">
        <f>IF(H94&lt;G94, "FAIL", "PASS")</f>
        <v/>
      </c>
      <c r="AA94" s="10">
        <f>IF(AND(O94&gt;0, S94=""), "FAIL", "PASS")</f>
        <v/>
      </c>
      <c r="AB94" s="10">
        <f>IF(AND(F94="US", O94&gt;0, P94=""), "FAIL", "PASS")</f>
        <v/>
      </c>
      <c r="AC94" s="10">
        <f>IF(AND(OR(M94="Amex_BTA_Ghost", M94="Single_Use_Virtual_Card"), N94="N"), "FAIL", "PASS")</f>
        <v/>
      </c>
      <c r="AD94" s="10">
        <f>IF(OR(U94="N", V94&gt;14), "FAIL", "PASS")</f>
        <v/>
      </c>
      <c r="AE94" s="10">
        <f>IF(J94&gt;25, "FAIL", "PASS")</f>
        <v/>
      </c>
      <c r="AF94" s="10">
        <f>IF(COUNTIF(Y94:AE94, "FAIL")=0, "CLEAN", "FLAGGED")</f>
        <v/>
      </c>
    </row>
    <row r="95">
      <c r="A95" s="9" t="inlineStr">
        <is>
          <t>MTG-2026-10089</t>
        </is>
      </c>
      <c r="B95" s="9" t="inlineStr">
        <is>
          <t>Oncology</t>
        </is>
      </c>
      <c r="C95" s="9" t="inlineStr">
        <is>
          <t>Internal_Sales_Rally</t>
        </is>
      </c>
      <c r="D95" s="9" t="inlineStr">
        <is>
          <t>CC-ONC-8821</t>
        </is>
      </c>
      <c r="E95" s="9" t="inlineStr">
        <is>
          <t>WBS-IMM-108-PH3</t>
        </is>
      </c>
      <c r="F95" s="9" t="inlineStr">
        <is>
          <t>DE</t>
        </is>
      </c>
      <c r="G95" s="9" t="inlineStr">
        <is>
          <t>2026-05-30</t>
        </is>
      </c>
      <c r="H95" s="9" t="inlineStr">
        <is>
          <t>2026-05-27</t>
        </is>
      </c>
      <c r="I95" s="9" t="n">
        <v>86</v>
      </c>
      <c r="J95" s="9" t="n">
        <v>3.58</v>
      </c>
      <c r="K95" s="9" t="n">
        <v>165823.98</v>
      </c>
      <c r="L95" s="9" t="n">
        <v>160100</v>
      </c>
      <c r="M95" s="9" t="inlineStr">
        <is>
          <t>Amex_BTA_Ghost</t>
        </is>
      </c>
      <c r="N95" s="9" t="inlineStr">
        <is>
          <t>Y</t>
        </is>
      </c>
      <c r="O95" s="9" t="n">
        <v>0</v>
      </c>
      <c r="P95" s="9" t="inlineStr"/>
      <c r="Q95" s="9" t="inlineStr">
        <is>
          <t>nan</t>
        </is>
      </c>
      <c r="R95" s="9" t="inlineStr">
        <is>
          <t>N</t>
        </is>
      </c>
      <c r="S95" s="9" t="inlineStr">
        <is>
          <t>CVT-806774</t>
        </is>
      </c>
      <c r="T95" s="9" t="inlineStr">
        <is>
          <t>EXP-2026-551488</t>
        </is>
      </c>
      <c r="U95" s="9" t="inlineStr">
        <is>
          <t>Y</t>
        </is>
      </c>
      <c r="V95" s="9" t="n">
        <v>4</v>
      </c>
      <c r="W95" s="9" t="inlineStr">
        <is>
          <t>N</t>
        </is>
      </c>
      <c r="X95" s="9" t="inlineStr">
        <is>
          <t>Approved</t>
        </is>
      </c>
      <c r="Y95" s="10">
        <f>IF(OR(ISBLANK(A95), ISBLANK(D95), ISBLANK(E95)), "FAIL", "PASS")</f>
        <v/>
      </c>
      <c r="Z95" s="10">
        <f>IF(H95&lt;G95, "FAIL", "PASS")</f>
        <v/>
      </c>
      <c r="AA95" s="10">
        <f>IF(AND(O95&gt;0, S95=""), "FAIL", "PASS")</f>
        <v/>
      </c>
      <c r="AB95" s="10">
        <f>IF(AND(F95="US", O95&gt;0, P95=""), "FAIL", "PASS")</f>
        <v/>
      </c>
      <c r="AC95" s="10">
        <f>IF(AND(OR(M95="Amex_BTA_Ghost", M95="Single_Use_Virtual_Card"), N95="N"), "FAIL", "PASS")</f>
        <v/>
      </c>
      <c r="AD95" s="10">
        <f>IF(OR(U95="N", V95&gt;14), "FAIL", "PASS")</f>
        <v/>
      </c>
      <c r="AE95" s="10">
        <f>IF(J95&gt;25, "FAIL", "PASS")</f>
        <v/>
      </c>
      <c r="AF95" s="10">
        <f>IF(COUNTIF(Y95:AE95, "FAIL")=0, "CLEAN", "FLAGGED")</f>
        <v/>
      </c>
    </row>
    <row r="96">
      <c r="A96" s="9" t="inlineStr">
        <is>
          <t>MTG-2026-10090</t>
        </is>
      </c>
      <c r="B96" s="9" t="inlineStr">
        <is>
          <t>Rare_Disease</t>
        </is>
      </c>
      <c r="C96" s="9" t="inlineStr">
        <is>
          <t>Commercial_Launch</t>
        </is>
      </c>
      <c r="D96" s="9" t="inlineStr">
        <is>
          <t>CC-RD-9014</t>
        </is>
      </c>
      <c r="E96" s="9" t="inlineStr">
        <is>
          <t>WBS-RD-401-REG</t>
        </is>
      </c>
      <c r="F96" s="9" t="inlineStr">
        <is>
          <t>US</t>
        </is>
      </c>
      <c r="G96" s="9" t="inlineStr">
        <is>
          <t>2026-08-11</t>
        </is>
      </c>
      <c r="H96" s="9" t="inlineStr">
        <is>
          <t>2026-08-14</t>
        </is>
      </c>
      <c r="I96" s="9" t="n">
        <v>52</v>
      </c>
      <c r="J96" s="9" t="n">
        <v>6.67</v>
      </c>
      <c r="K96" s="9" t="n">
        <v>223889.87</v>
      </c>
      <c r="L96" s="9" t="n">
        <v>209900</v>
      </c>
      <c r="M96" s="9" t="inlineStr">
        <is>
          <t>Single_Use_Virtual_Card</t>
        </is>
      </c>
      <c r="N96" s="9" t="inlineStr">
        <is>
          <t>Pending</t>
        </is>
      </c>
      <c r="O96" s="9" t="n">
        <v>29</v>
      </c>
      <c r="P96" s="9" t="inlineStr">
        <is>
          <t>1592845076;1706666479;1361142486;1848651792;1342512383;1422095317;1834484102;1989124880;1186561759;1801943382;1797818850;1915599098;1134020981;1200395400;1535164258;1507231644;1504982743;1693458652;1611106584;1160252954;1783703040;1110147040;1854674236;1284021712;1188783547;1636718857;1565906941;1792463878;1942217648</t>
        </is>
      </c>
      <c r="Q96" s="9" t="inlineStr">
        <is>
          <t>Y</t>
        </is>
      </c>
      <c r="R96" s="9" t="inlineStr">
        <is>
          <t>N</t>
        </is>
      </c>
      <c r="S96" s="9" t="inlineStr">
        <is>
          <t>CVT-999636</t>
        </is>
      </c>
      <c r="T96" s="9" t="inlineStr">
        <is>
          <t>EXP-2026-199994</t>
        </is>
      </c>
      <c r="U96" s="9" t="inlineStr">
        <is>
          <t>Y</t>
        </is>
      </c>
      <c r="V96" s="9" t="n">
        <v>2</v>
      </c>
      <c r="W96" s="9" t="inlineStr">
        <is>
          <t>Y</t>
        </is>
      </c>
      <c r="X96" s="9" t="inlineStr">
        <is>
          <t>Approved</t>
        </is>
      </c>
      <c r="Y96" s="10">
        <f>IF(OR(ISBLANK(A96), ISBLANK(D96), ISBLANK(E96)), "FAIL", "PASS")</f>
        <v/>
      </c>
      <c r="Z96" s="10">
        <f>IF(H96&lt;G96, "FAIL", "PASS")</f>
        <v/>
      </c>
      <c r="AA96" s="10">
        <f>IF(AND(O96&gt;0, S96=""), "FAIL", "PASS")</f>
        <v/>
      </c>
      <c r="AB96" s="10">
        <f>IF(AND(F96="US", O96&gt;0, P96=""), "FAIL", "PASS")</f>
        <v/>
      </c>
      <c r="AC96" s="10">
        <f>IF(AND(OR(M96="Amex_BTA_Ghost", M96="Single_Use_Virtual_Card"), N96="N"), "FAIL", "PASS")</f>
        <v/>
      </c>
      <c r="AD96" s="10">
        <f>IF(OR(U96="N", V96&gt;14), "FAIL", "PASS")</f>
        <v/>
      </c>
      <c r="AE96" s="10">
        <f>IF(J96&gt;25, "FAIL", "PASS")</f>
        <v/>
      </c>
      <c r="AF96" s="10">
        <f>IF(COUNTIF(Y96:AE96, "FAIL")=0, "CLEAN", "FLAGGED")</f>
        <v/>
      </c>
    </row>
    <row r="97">
      <c r="A97" s="9" t="inlineStr">
        <is>
          <t>MTG-2026-10091</t>
        </is>
      </c>
      <c r="B97" s="9" t="inlineStr">
        <is>
          <t>Vaccines_Infectious</t>
        </is>
      </c>
      <c r="C97" s="9" t="inlineStr">
        <is>
          <t>Commercial_Launch</t>
        </is>
      </c>
      <c r="D97" s="9" t="inlineStr">
        <is>
          <t>CC-VAC-6311</t>
        </is>
      </c>
      <c r="E97" s="9" t="inlineStr">
        <is>
          <t>WBS-VAC-205-GLB</t>
        </is>
      </c>
      <c r="F97" s="9" t="inlineStr">
        <is>
          <t>FR</t>
        </is>
      </c>
      <c r="G97" s="9" t="inlineStr">
        <is>
          <t>2026-03-25</t>
        </is>
      </c>
      <c r="H97" s="9" t="inlineStr">
        <is>
          <t>2026-03-26</t>
        </is>
      </c>
      <c r="I97" s="9" t="n">
        <v>27</v>
      </c>
      <c r="J97" s="9" t="n">
        <v>-5.73</v>
      </c>
      <c r="K97" s="9" t="n">
        <v>362294.25</v>
      </c>
      <c r="L97" s="9" t="n">
        <v>384300</v>
      </c>
      <c r="M97" s="9" t="inlineStr">
        <is>
          <t>Corporate_T&amp;E_Card</t>
        </is>
      </c>
      <c r="N97" s="9" t="inlineStr">
        <is>
          <t>Y</t>
        </is>
      </c>
      <c r="O97" s="9" t="n">
        <v>6</v>
      </c>
      <c r="P97" s="9" t="inlineStr">
        <is>
          <t>EFPIA-FR-288066;EFPIA-FR-991737;EFPIA-FR-429761;EFPIA-FR-116418;EFPIA-FR-317221;EFPIA-FR-715551</t>
        </is>
      </c>
      <c r="Q97" s="9" t="inlineStr">
        <is>
          <t>Y</t>
        </is>
      </c>
      <c r="R97" s="9" t="inlineStr">
        <is>
          <t>Y</t>
        </is>
      </c>
      <c r="S97" s="9" t="inlineStr">
        <is>
          <t>CVT-960556</t>
        </is>
      </c>
      <c r="T97" s="9" t="inlineStr">
        <is>
          <t>EXP-2026-847332</t>
        </is>
      </c>
      <c r="U97" s="9" t="inlineStr">
        <is>
          <t>Y</t>
        </is>
      </c>
      <c r="V97" s="9" t="n">
        <v>3</v>
      </c>
      <c r="W97" s="9" t="inlineStr">
        <is>
          <t>Y</t>
        </is>
      </c>
      <c r="X97" s="9" t="inlineStr">
        <is>
          <t>Approved</t>
        </is>
      </c>
      <c r="Y97" s="10">
        <f>IF(OR(ISBLANK(A97), ISBLANK(D97), ISBLANK(E97)), "FAIL", "PASS")</f>
        <v/>
      </c>
      <c r="Z97" s="10">
        <f>IF(H97&lt;G97, "FAIL", "PASS")</f>
        <v/>
      </c>
      <c r="AA97" s="10">
        <f>IF(AND(O97&gt;0, S97=""), "FAIL", "PASS")</f>
        <v/>
      </c>
      <c r="AB97" s="10">
        <f>IF(AND(F97="US", O97&gt;0, P97=""), "FAIL", "PASS")</f>
        <v/>
      </c>
      <c r="AC97" s="10">
        <f>IF(AND(OR(M97="Amex_BTA_Ghost", M97="Single_Use_Virtual_Card"), N97="N"), "FAIL", "PASS")</f>
        <v/>
      </c>
      <c r="AD97" s="10">
        <f>IF(OR(U97="N", V97&gt;14), "FAIL", "PASS")</f>
        <v/>
      </c>
      <c r="AE97" s="10">
        <f>IF(J97&gt;25, "FAIL", "PASS")</f>
        <v/>
      </c>
      <c r="AF97" s="10">
        <f>IF(COUNTIF(Y97:AE97, "FAIL")=0, "CLEAN", "FLAGGED")</f>
        <v/>
      </c>
    </row>
    <row r="98">
      <c r="A98" s="9" t="inlineStr">
        <is>
          <t>MTG-2026-10092</t>
        </is>
      </c>
      <c r="B98" s="9" t="inlineStr">
        <is>
          <t>Vaccines_Infectious</t>
        </is>
      </c>
      <c r="C98" s="9" t="inlineStr">
        <is>
          <t>Internal_Sales_Rally</t>
        </is>
      </c>
      <c r="D98" s="9" t="inlineStr">
        <is>
          <t>CC-VAC-6311</t>
        </is>
      </c>
      <c r="E98" s="9" t="inlineStr">
        <is>
          <t>WBS-VAC-205-GLB</t>
        </is>
      </c>
      <c r="F98" s="9" t="inlineStr">
        <is>
          <t>GB</t>
        </is>
      </c>
      <c r="G98" s="9" t="inlineStr">
        <is>
          <t>2026-07-07</t>
        </is>
      </c>
      <c r="H98" s="9" t="inlineStr">
        <is>
          <t>2026-07-10</t>
        </is>
      </c>
      <c r="I98" s="9" t="n">
        <v>67</v>
      </c>
      <c r="J98" s="9" t="n">
        <v>-12.12</v>
      </c>
      <c r="K98" s="9" t="n">
        <v>93948.91</v>
      </c>
      <c r="L98" s="9" t="n">
        <v>106900</v>
      </c>
      <c r="M98" s="9" t="inlineStr">
        <is>
          <t>Amex_BTA_Ghost</t>
        </is>
      </c>
      <c r="N98" s="9" t="inlineStr">
        <is>
          <t>Y</t>
        </is>
      </c>
      <c r="O98" s="9" t="n">
        <v>0</v>
      </c>
      <c r="P98" s="9" t="inlineStr"/>
      <c r="Q98" s="9" t="inlineStr">
        <is>
          <t>nan</t>
        </is>
      </c>
      <c r="R98" s="9" t="inlineStr">
        <is>
          <t>N</t>
        </is>
      </c>
      <c r="S98" s="9" t="inlineStr">
        <is>
          <t>CVT-822794</t>
        </is>
      </c>
      <c r="T98" s="9" t="inlineStr">
        <is>
          <t>EXP-2026-859340</t>
        </is>
      </c>
      <c r="U98" s="9" t="inlineStr">
        <is>
          <t>Y</t>
        </is>
      </c>
      <c r="V98" s="9" t="n">
        <v>7</v>
      </c>
      <c r="W98" s="9" t="inlineStr">
        <is>
          <t>N</t>
        </is>
      </c>
      <c r="X98" s="9" t="inlineStr">
        <is>
          <t>Approved</t>
        </is>
      </c>
      <c r="Y98" s="10">
        <f>IF(OR(ISBLANK(A98), ISBLANK(D98), ISBLANK(E98)), "FAIL", "PASS")</f>
        <v/>
      </c>
      <c r="Z98" s="10">
        <f>IF(H98&lt;G98, "FAIL", "PASS")</f>
        <v/>
      </c>
      <c r="AA98" s="10">
        <f>IF(AND(O98&gt;0, S98=""), "FAIL", "PASS")</f>
        <v/>
      </c>
      <c r="AB98" s="10">
        <f>IF(AND(F98="US", O98&gt;0, P98=""), "FAIL", "PASS")</f>
        <v/>
      </c>
      <c r="AC98" s="10">
        <f>IF(AND(OR(M98="Amex_BTA_Ghost", M98="Single_Use_Virtual_Card"), N98="N"), "FAIL", "PASS")</f>
        <v/>
      </c>
      <c r="AD98" s="10">
        <f>IF(OR(U98="N", V98&gt;14), "FAIL", "PASS")</f>
        <v/>
      </c>
      <c r="AE98" s="10">
        <f>IF(J98&gt;25, "FAIL", "PASS")</f>
        <v/>
      </c>
      <c r="AF98" s="10">
        <f>IF(COUNTIF(Y98:AE98, "FAIL")=0, "CLEAN", "FLAGGED")</f>
        <v/>
      </c>
    </row>
    <row r="99">
      <c r="A99" s="9" t="inlineStr">
        <is>
          <t>MTG-2026-10093</t>
        </is>
      </c>
      <c r="B99" s="9" t="inlineStr">
        <is>
          <t>Rare_Disease</t>
        </is>
      </c>
      <c r="C99" s="9" t="inlineStr">
        <is>
          <t>Commercial_Launch</t>
        </is>
      </c>
      <c r="D99" s="9" t="inlineStr">
        <is>
          <t>CC-RD-9014</t>
        </is>
      </c>
      <c r="E99" s="9" t="inlineStr">
        <is>
          <t>WBS-RD-401-REG</t>
        </is>
      </c>
      <c r="F99" s="9" t="inlineStr">
        <is>
          <t>DE</t>
        </is>
      </c>
      <c r="G99" s="9" t="inlineStr">
        <is>
          <t>2026-06-18</t>
        </is>
      </c>
      <c r="H99" s="9" t="inlineStr">
        <is>
          <t>2026-06-22</t>
        </is>
      </c>
      <c r="I99" s="9" t="n">
        <v>59</v>
      </c>
      <c r="J99" s="9" t="n">
        <v>-8.449999999999999</v>
      </c>
      <c r="K99" s="9" t="n">
        <v>168731.38</v>
      </c>
      <c r="L99" s="9" t="n">
        <v>184300</v>
      </c>
      <c r="M99" s="9" t="inlineStr">
        <is>
          <t>Amex_BTA_Ghost</t>
        </is>
      </c>
      <c r="N99" s="9" t="inlineStr">
        <is>
          <t>Y</t>
        </is>
      </c>
      <c r="O99" s="9" t="n">
        <v>32</v>
      </c>
      <c r="P99" s="9" t="inlineStr">
        <is>
          <t>EFPIA-DE-614435;EFPIA-DE-339220;EFPIA-DE-473095;EFPIA-DE-679902;EFPIA-DE-493663;EFPIA-DE-552825;EFPIA-DE-294760;EFPIA-DE-812711;EFPIA-DE-714334;EFPIA-DE-792764;EFPIA-DE-498535;EFPIA-DE-189856;EFPIA-DE-909676;EFPIA-DE-748665;EFPIA-DE-409727;EFPIA-DE-936821;EFPIA-DE-358421;EFPIA-DE-847748;EFPIA-DE-177077;EFPIA-DE-186023;EFPIA-DE-380989;EFPIA-DE-261712;EFPIA-DE-498458;EFPIA-DE-846247;EFPIA-DE-921968;EFPIA-DE-764693;EFPIA-DE-261771;EFPIA-DE-875584;EFPIA-DE-508548;EFPIA-DE-432061;EFPIA-DE-478221;EFPIA-DE-211726</t>
        </is>
      </c>
      <c r="Q99" s="9" t="inlineStr">
        <is>
          <t>Y</t>
        </is>
      </c>
      <c r="R99" s="9" t="inlineStr">
        <is>
          <t>Y</t>
        </is>
      </c>
      <c r="S99" s="9" t="inlineStr">
        <is>
          <t>CVT-423241</t>
        </is>
      </c>
      <c r="T99" s="9" t="inlineStr">
        <is>
          <t>EXP-2026-566339</t>
        </is>
      </c>
      <c r="U99" s="9" t="inlineStr">
        <is>
          <t>Y</t>
        </is>
      </c>
      <c r="V99" s="9" t="n">
        <v>6</v>
      </c>
      <c r="W99" s="9" t="inlineStr">
        <is>
          <t>Y</t>
        </is>
      </c>
      <c r="X99" s="9" t="inlineStr">
        <is>
          <t>Approved</t>
        </is>
      </c>
      <c r="Y99" s="10">
        <f>IF(OR(ISBLANK(A99), ISBLANK(D99), ISBLANK(E99)), "FAIL", "PASS")</f>
        <v/>
      </c>
      <c r="Z99" s="10">
        <f>IF(H99&lt;G99, "FAIL", "PASS")</f>
        <v/>
      </c>
      <c r="AA99" s="10">
        <f>IF(AND(O99&gt;0, S99=""), "FAIL", "PASS")</f>
        <v/>
      </c>
      <c r="AB99" s="10">
        <f>IF(AND(F99="US", O99&gt;0, P99=""), "FAIL", "PASS")</f>
        <v/>
      </c>
      <c r="AC99" s="10">
        <f>IF(AND(OR(M99="Amex_BTA_Ghost", M99="Single_Use_Virtual_Card"), N99="N"), "FAIL", "PASS")</f>
        <v/>
      </c>
      <c r="AD99" s="10">
        <f>IF(OR(U99="N", V99&gt;14), "FAIL", "PASS")</f>
        <v/>
      </c>
      <c r="AE99" s="10">
        <f>IF(J99&gt;25, "FAIL", "PASS")</f>
        <v/>
      </c>
      <c r="AF99" s="10">
        <f>IF(COUNTIF(Y99:AE99, "FAIL")=0, "CLEAN", "FLAGGED")</f>
        <v/>
      </c>
    </row>
    <row r="100">
      <c r="A100" s="9" t="inlineStr">
        <is>
          <t>MTG-2026-10094</t>
        </is>
      </c>
      <c r="B100" s="9" t="inlineStr">
        <is>
          <t>Vaccines_Infectious</t>
        </is>
      </c>
      <c r="C100" s="9" t="inlineStr">
        <is>
          <t>Commercial_Launch</t>
        </is>
      </c>
      <c r="D100" s="9" t="inlineStr">
        <is>
          <t>CC-VAC-6311</t>
        </is>
      </c>
      <c r="E100" s="9" t="inlineStr">
        <is>
          <t>WBS-VAC-205-GLB</t>
        </is>
      </c>
      <c r="F100" s="9" t="inlineStr">
        <is>
          <t>JP</t>
        </is>
      </c>
      <c r="G100" s="9" t="inlineStr">
        <is>
          <t>2026-02-10</t>
        </is>
      </c>
      <c r="H100" s="9" t="inlineStr">
        <is>
          <t>2026-02-11</t>
        </is>
      </c>
      <c r="I100" s="9" t="n">
        <v>29</v>
      </c>
      <c r="J100" s="9" t="n">
        <v>-1.6</v>
      </c>
      <c r="K100" s="9" t="n">
        <v>174555.7</v>
      </c>
      <c r="L100" s="9" t="n">
        <v>177400</v>
      </c>
      <c r="M100" s="9" t="inlineStr">
        <is>
          <t>Single_Use_Virtual_Card</t>
        </is>
      </c>
      <c r="N100" s="9" t="inlineStr">
        <is>
          <t>Y</t>
        </is>
      </c>
      <c r="O100" s="9" t="n">
        <v>24</v>
      </c>
      <c r="P100" s="9" t="inlineStr">
        <is>
          <t>EFPIA-JP-503951;EFPIA-JP-112940;EFPIA-JP-406024;EFPIA-JP-533911;EFPIA-JP-506637;EFPIA-JP-917018;EFPIA-JP-188813;EFPIA-JP-860053;EFPIA-JP-686716;EFPIA-JP-354533;EFPIA-JP-699743;EFPIA-JP-646417;EFPIA-JP-277820;EFPIA-JP-818605;EFPIA-JP-499226;EFPIA-JP-277735;EFPIA-JP-245584;EFPIA-JP-381981;EFPIA-JP-415759;EFPIA-JP-381444;EFPIA-JP-617077;EFPIA-JP-253023;EFPIA-JP-166340;EFPIA-JP-275329</t>
        </is>
      </c>
      <c r="Q100" s="9" t="inlineStr">
        <is>
          <t>Y</t>
        </is>
      </c>
      <c r="R100" s="9" t="inlineStr">
        <is>
          <t>N</t>
        </is>
      </c>
      <c r="S100" s="9" t="inlineStr">
        <is>
          <t>CVT-541557</t>
        </is>
      </c>
      <c r="T100" s="9" t="inlineStr">
        <is>
          <t>EXP-2026-414313</t>
        </is>
      </c>
      <c r="U100" s="9" t="inlineStr">
        <is>
          <t>Y</t>
        </is>
      </c>
      <c r="V100" s="9" t="n">
        <v>3</v>
      </c>
      <c r="W100" s="9" t="inlineStr">
        <is>
          <t>Y</t>
        </is>
      </c>
      <c r="X100" s="9" t="inlineStr">
        <is>
          <t>Approved</t>
        </is>
      </c>
      <c r="Y100" s="10">
        <f>IF(OR(ISBLANK(A100), ISBLANK(D100), ISBLANK(E100)), "FAIL", "PASS")</f>
        <v/>
      </c>
      <c r="Z100" s="10">
        <f>IF(H100&lt;G100, "FAIL", "PASS")</f>
        <v/>
      </c>
      <c r="AA100" s="10">
        <f>IF(AND(O100&gt;0, S100=""), "FAIL", "PASS")</f>
        <v/>
      </c>
      <c r="AB100" s="10">
        <f>IF(AND(F100="US", O100&gt;0, P100=""), "FAIL", "PASS")</f>
        <v/>
      </c>
      <c r="AC100" s="10">
        <f>IF(AND(OR(M100="Amex_BTA_Ghost", M100="Single_Use_Virtual_Card"), N100="N"), "FAIL", "PASS")</f>
        <v/>
      </c>
      <c r="AD100" s="10">
        <f>IF(OR(U100="N", V100&gt;14), "FAIL", "PASS")</f>
        <v/>
      </c>
      <c r="AE100" s="10">
        <f>IF(J100&gt;25, "FAIL", "PASS")</f>
        <v/>
      </c>
      <c r="AF100" s="10">
        <f>IF(COUNTIF(Y100:AE100, "FAIL")=0, "CLEAN", "FLAGGED")</f>
        <v/>
      </c>
    </row>
    <row r="101">
      <c r="A101" s="9" t="inlineStr">
        <is>
          <t>MTG-2026-10095</t>
        </is>
      </c>
      <c r="B101" s="9" t="inlineStr">
        <is>
          <t>Vaccines_Infectious</t>
        </is>
      </c>
      <c r="C101" s="9" t="inlineStr">
        <is>
          <t>Investigator_Meeting</t>
        </is>
      </c>
      <c r="D101" s="9" t="inlineStr">
        <is>
          <t>CC-VAC-6311</t>
        </is>
      </c>
      <c r="E101" s="9" t="inlineStr">
        <is>
          <t>WBS-VAC-205-GLB</t>
        </is>
      </c>
      <c r="F101" s="9" t="inlineStr">
        <is>
          <t>US</t>
        </is>
      </c>
      <c r="G101" s="9" t="inlineStr">
        <is>
          <t>2026-06-16</t>
        </is>
      </c>
      <c r="H101" s="9" t="inlineStr">
        <is>
          <t>2026-06-18</t>
        </is>
      </c>
      <c r="I101" s="9" t="n">
        <v>76</v>
      </c>
      <c r="J101" s="9" t="n">
        <v>2.7</v>
      </c>
      <c r="K101" s="9" t="n">
        <v>204067.31</v>
      </c>
      <c r="L101" s="9" t="n">
        <v>198700</v>
      </c>
      <c r="M101" s="9" t="inlineStr">
        <is>
          <t>Amex_BTA_Ghost</t>
        </is>
      </c>
      <c r="N101" s="9" t="inlineStr">
        <is>
          <t>Y</t>
        </is>
      </c>
      <c r="O101" s="9" t="n">
        <v>29</v>
      </c>
      <c r="P101" s="9" t="inlineStr">
        <is>
          <t>1456715514;1765926290;1507903732;1963370520;1453842723;1572685761;1459420281;1562370643;1975610118;1984264226;1799045497;1738224541;1246162540;1422589929;1444311586;1747693166;1846564420;1315662642;1614332794;1437351729;1290736564;1527606494;1442671456;1412940071;1889065340;1846205223;1779573843;1627215082;1718345671</t>
        </is>
      </c>
      <c r="Q101" s="9" t="inlineStr">
        <is>
          <t>N</t>
        </is>
      </c>
      <c r="R101" s="9" t="inlineStr">
        <is>
          <t>N</t>
        </is>
      </c>
      <c r="S101" s="9" t="inlineStr">
        <is>
          <t>CVT-441716</t>
        </is>
      </c>
      <c r="T101" s="9" t="inlineStr">
        <is>
          <t>EXP-2026-494322</t>
        </is>
      </c>
      <c r="U101" s="9" t="inlineStr">
        <is>
          <t>Y</t>
        </is>
      </c>
      <c r="V101" s="9" t="n">
        <v>8</v>
      </c>
      <c r="W101" s="9" t="inlineStr">
        <is>
          <t>Y</t>
        </is>
      </c>
      <c r="X101" s="9" t="inlineStr">
        <is>
          <t>Approved</t>
        </is>
      </c>
      <c r="Y101" s="10">
        <f>IF(OR(ISBLANK(A101), ISBLANK(D101), ISBLANK(E101)), "FAIL", "PASS")</f>
        <v/>
      </c>
      <c r="Z101" s="10">
        <f>IF(H101&lt;G101, "FAIL", "PASS")</f>
        <v/>
      </c>
      <c r="AA101" s="10">
        <f>IF(AND(O101&gt;0, S101=""), "FAIL", "PASS")</f>
        <v/>
      </c>
      <c r="AB101" s="10">
        <f>IF(AND(F101="US", O101&gt;0, P101=""), "FAIL", "PASS")</f>
        <v/>
      </c>
      <c r="AC101" s="10">
        <f>IF(AND(OR(M101="Amex_BTA_Ghost", M101="Single_Use_Virtual_Card"), N101="N"), "FAIL", "PASS")</f>
        <v/>
      </c>
      <c r="AD101" s="10">
        <f>IF(OR(U101="N", V101&gt;14), "FAIL", "PASS")</f>
        <v/>
      </c>
      <c r="AE101" s="10">
        <f>IF(J101&gt;25, "FAIL", "PASS")</f>
        <v/>
      </c>
      <c r="AF101" s="10">
        <f>IF(COUNTIF(Y101:AE101, "FAIL")=0, "CLEAN", "FLAGGED")</f>
        <v/>
      </c>
    </row>
    <row r="102">
      <c r="A102" s="9" t="inlineStr">
        <is>
          <t>MTG-2026-10096</t>
        </is>
      </c>
      <c r="B102" s="9" t="inlineStr">
        <is>
          <t>Immunology_Inflammation</t>
        </is>
      </c>
      <c r="C102" s="9" t="inlineStr">
        <is>
          <t>Advisory_Board</t>
        </is>
      </c>
      <c r="D102" s="9" t="inlineStr">
        <is>
          <t>CC-IMM-4102</t>
        </is>
      </c>
      <c r="E102" s="9" t="inlineStr">
        <is>
          <t>WBS-VAC-205-GLB</t>
        </is>
      </c>
      <c r="F102" s="9" t="inlineStr">
        <is>
          <t>GB</t>
        </is>
      </c>
      <c r="G102" s="9" t="inlineStr">
        <is>
          <t>2026-07-08</t>
        </is>
      </c>
      <c r="H102" s="9" t="inlineStr">
        <is>
          <t>2026-07-09</t>
        </is>
      </c>
      <c r="I102" s="9" t="n">
        <v>77</v>
      </c>
      <c r="J102" s="9" t="n">
        <v>15.84</v>
      </c>
      <c r="K102" s="9" t="n">
        <v>109472.94</v>
      </c>
      <c r="L102" s="9" t="n">
        <v>94500</v>
      </c>
      <c r="M102" s="9" t="inlineStr">
        <is>
          <t>Amex_BTA_Ghost</t>
        </is>
      </c>
      <c r="N102" s="9" t="inlineStr">
        <is>
          <t>Y</t>
        </is>
      </c>
      <c r="O102" s="9" t="n">
        <v>8</v>
      </c>
      <c r="P102" s="9" t="inlineStr">
        <is>
          <t>EFPIA-GB-958747;EFPIA-GB-988970;EFPIA-GB-934306;EFPIA-GB-933665;EFPIA-GB-529016;EFPIA-GB-805668;EFPIA-GB-623557;EFPIA-GB-245939</t>
        </is>
      </c>
      <c r="Q102" s="9" t="inlineStr">
        <is>
          <t>Y</t>
        </is>
      </c>
      <c r="R102" s="9" t="inlineStr">
        <is>
          <t>Y</t>
        </is>
      </c>
      <c r="S102" s="9" t="inlineStr">
        <is>
          <t>CVT-353777</t>
        </is>
      </c>
      <c r="T102" s="9" t="inlineStr">
        <is>
          <t>EXP-2026-364955</t>
        </is>
      </c>
      <c r="U102" s="9" t="inlineStr">
        <is>
          <t>Y</t>
        </is>
      </c>
      <c r="V102" s="9" t="n">
        <v>8</v>
      </c>
      <c r="W102" s="9" t="inlineStr">
        <is>
          <t>Y</t>
        </is>
      </c>
      <c r="X102" s="9" t="inlineStr">
        <is>
          <t>Conditional</t>
        </is>
      </c>
      <c r="Y102" s="10">
        <f>IF(OR(ISBLANK(A102), ISBLANK(D102), ISBLANK(E102)), "FAIL", "PASS")</f>
        <v/>
      </c>
      <c r="Z102" s="10">
        <f>IF(H102&lt;G102, "FAIL", "PASS")</f>
        <v/>
      </c>
      <c r="AA102" s="10">
        <f>IF(AND(O102&gt;0, S102=""), "FAIL", "PASS")</f>
        <v/>
      </c>
      <c r="AB102" s="10">
        <f>IF(AND(F102="US", O102&gt;0, P102=""), "FAIL", "PASS")</f>
        <v/>
      </c>
      <c r="AC102" s="10">
        <f>IF(AND(OR(M102="Amex_BTA_Ghost", M102="Single_Use_Virtual_Card"), N102="N"), "FAIL", "PASS")</f>
        <v/>
      </c>
      <c r="AD102" s="10">
        <f>IF(OR(U102="N", V102&gt;14), "FAIL", "PASS")</f>
        <v/>
      </c>
      <c r="AE102" s="10">
        <f>IF(J102&gt;25, "FAIL", "PASS")</f>
        <v/>
      </c>
      <c r="AF102" s="10">
        <f>IF(COUNTIF(Y102:AE102, "FAIL")=0, "CLEAN", "FLAGGED")</f>
        <v/>
      </c>
    </row>
    <row r="103">
      <c r="A103" s="9" t="inlineStr">
        <is>
          <t>MTG-2026-10097</t>
        </is>
      </c>
      <c r="B103" s="9" t="inlineStr">
        <is>
          <t>Vaccines_Infectious</t>
        </is>
      </c>
      <c r="C103" s="9" t="inlineStr">
        <is>
          <t>Investigator_Meeting</t>
        </is>
      </c>
      <c r="D103" s="9" t="inlineStr">
        <is>
          <t>CC-VAC-6311</t>
        </is>
      </c>
      <c r="E103" s="9" t="inlineStr">
        <is>
          <t>WBS-VAC-205-GLB</t>
        </is>
      </c>
      <c r="F103" s="9" t="inlineStr">
        <is>
          <t>GB</t>
        </is>
      </c>
      <c r="G103" s="9" t="inlineStr">
        <is>
          <t>2026-06-13</t>
        </is>
      </c>
      <c r="H103" s="9" t="inlineStr">
        <is>
          <t>2026-06-17</t>
        </is>
      </c>
      <c r="I103" s="9" t="n">
        <v>86</v>
      </c>
      <c r="J103" s="9" t="n">
        <v>-5.47</v>
      </c>
      <c r="K103" s="9" t="n">
        <v>266866.29</v>
      </c>
      <c r="L103" s="9" t="n">
        <v>282300</v>
      </c>
      <c r="M103" s="9" t="inlineStr">
        <is>
          <t>Single_Use_Virtual_Card</t>
        </is>
      </c>
      <c r="N103" s="9" t="inlineStr">
        <is>
          <t>Y</t>
        </is>
      </c>
      <c r="O103" s="9" t="n">
        <v>30</v>
      </c>
      <c r="P103" s="9" t="inlineStr">
        <is>
          <t>EFPIA-GB-670053;EFPIA-GB-138551;EFPIA-GB-929130;EFPIA-GB-476993;EFPIA-GB-835716;EFPIA-GB-951755;EFPIA-GB-662986;EFPIA-GB-722665;EFPIA-GB-769180;EFPIA-GB-189110;EFPIA-GB-214682;EFPIA-GB-906306;EFPIA-GB-360289;EFPIA-GB-789545;EFPIA-GB-796982;EFPIA-GB-472253;EFPIA-GB-274418;EFPIA-GB-778428;EFPIA-GB-742439;EFPIA-GB-146448;EFPIA-GB-690579;EFPIA-GB-776364;EFPIA-GB-810380;EFPIA-GB-778159;EFPIA-GB-519029;EFPIA-GB-889245;EFPIA-GB-447704;EFPIA-GB-934908;EFPIA-GB-551365;EFPIA-GB-211090</t>
        </is>
      </c>
      <c r="Q103" s="9" t="inlineStr">
        <is>
          <t>Y</t>
        </is>
      </c>
      <c r="R103" s="9" t="inlineStr">
        <is>
          <t>Y</t>
        </is>
      </c>
      <c r="S103" s="9" t="inlineStr">
        <is>
          <t>CVT-371306</t>
        </is>
      </c>
      <c r="T103" s="9" t="inlineStr">
        <is>
          <t>EXP-2026-332785</t>
        </is>
      </c>
      <c r="U103" s="9" t="inlineStr">
        <is>
          <t>Y</t>
        </is>
      </c>
      <c r="V103" s="9" t="n">
        <v>10</v>
      </c>
      <c r="W103" s="9" t="inlineStr">
        <is>
          <t>Y</t>
        </is>
      </c>
      <c r="X103" s="9" t="inlineStr">
        <is>
          <t>Approved</t>
        </is>
      </c>
      <c r="Y103" s="10">
        <f>IF(OR(ISBLANK(A103), ISBLANK(D103), ISBLANK(E103)), "FAIL", "PASS")</f>
        <v/>
      </c>
      <c r="Z103" s="10">
        <f>IF(H103&lt;G103, "FAIL", "PASS")</f>
        <v/>
      </c>
      <c r="AA103" s="10">
        <f>IF(AND(O103&gt;0, S103=""), "FAIL", "PASS")</f>
        <v/>
      </c>
      <c r="AB103" s="10">
        <f>IF(AND(F103="US", O103&gt;0, P103=""), "FAIL", "PASS")</f>
        <v/>
      </c>
      <c r="AC103" s="10">
        <f>IF(AND(OR(M103="Amex_BTA_Ghost", M103="Single_Use_Virtual_Card"), N103="N"), "FAIL", "PASS")</f>
        <v/>
      </c>
      <c r="AD103" s="10">
        <f>IF(OR(U103="N", V103&gt;14), "FAIL", "PASS")</f>
        <v/>
      </c>
      <c r="AE103" s="10">
        <f>IF(J103&gt;25, "FAIL", "PASS")</f>
        <v/>
      </c>
      <c r="AF103" s="10">
        <f>IF(COUNTIF(Y103:AE103, "FAIL")=0, "CLEAN", "FLAGGED")</f>
        <v/>
      </c>
    </row>
    <row r="104">
      <c r="A104" s="9" t="inlineStr">
        <is>
          <t>MTG-2026-10098</t>
        </is>
      </c>
      <c r="B104" s="9" t="inlineStr">
        <is>
          <t>Immunology_Inflammation</t>
        </is>
      </c>
      <c r="C104" s="9" t="inlineStr">
        <is>
          <t>Advisory_Board</t>
        </is>
      </c>
      <c r="D104" s="9" t="inlineStr">
        <is>
          <t>CC-IMM-4102</t>
        </is>
      </c>
      <c r="E104" s="9" t="inlineStr">
        <is>
          <t>WBS-IMM-108-PH3</t>
        </is>
      </c>
      <c r="F104" s="9" t="inlineStr">
        <is>
          <t>FR</t>
        </is>
      </c>
      <c r="G104" s="9" t="inlineStr">
        <is>
          <t>2026-05-09</t>
        </is>
      </c>
      <c r="H104" s="9" t="inlineStr">
        <is>
          <t>2026-05-12</t>
        </is>
      </c>
      <c r="I104" s="9" t="n">
        <v>68</v>
      </c>
      <c r="J104" s="9" t="n">
        <v>-8.56</v>
      </c>
      <c r="K104" s="9" t="n">
        <v>81383.88</v>
      </c>
      <c r="L104" s="9" t="n">
        <v>89000</v>
      </c>
      <c r="M104" s="9" t="inlineStr">
        <is>
          <t>Single_Use_Virtual_Card</t>
        </is>
      </c>
      <c r="N104" s="9" t="inlineStr">
        <is>
          <t>Y</t>
        </is>
      </c>
      <c r="O104" s="9" t="n">
        <v>13</v>
      </c>
      <c r="P104" s="9" t="inlineStr">
        <is>
          <t>EFPIA-FR-461724;EFPIA-FR-125755;EFPIA-FR-606222;EFPIA-FR-209627;EFPIA-FR-409783;EFPIA-FR-536181;EFPIA-FR-190025;EFPIA-FR-221707;EFPIA-FR-971699;EFPIA-FR-865618;EFPIA-FR-248557;EFPIA-FR-465249;EFPIA-FR-427040</t>
        </is>
      </c>
      <c r="Q104" s="9" t="inlineStr">
        <is>
          <t>Y</t>
        </is>
      </c>
      <c r="R104" s="9" t="inlineStr">
        <is>
          <t>N</t>
        </is>
      </c>
      <c r="S104" s="9" t="inlineStr">
        <is>
          <t>CVT-922366</t>
        </is>
      </c>
      <c r="T104" s="9" t="inlineStr">
        <is>
          <t>EXP-2026-316916</t>
        </is>
      </c>
      <c r="U104" s="9" t="inlineStr">
        <is>
          <t>Y</t>
        </is>
      </c>
      <c r="V104" s="9" t="n">
        <v>7</v>
      </c>
      <c r="W104" s="9" t="inlineStr">
        <is>
          <t>Y</t>
        </is>
      </c>
      <c r="X104" s="9" t="inlineStr">
        <is>
          <t>Approved</t>
        </is>
      </c>
      <c r="Y104" s="10">
        <f>IF(OR(ISBLANK(A104), ISBLANK(D104), ISBLANK(E104)), "FAIL", "PASS")</f>
        <v/>
      </c>
      <c r="Z104" s="10">
        <f>IF(H104&lt;G104, "FAIL", "PASS")</f>
        <v/>
      </c>
      <c r="AA104" s="10">
        <f>IF(AND(O104&gt;0, S104=""), "FAIL", "PASS")</f>
        <v/>
      </c>
      <c r="AB104" s="10">
        <f>IF(AND(F104="US", O104&gt;0, P104=""), "FAIL", "PASS")</f>
        <v/>
      </c>
      <c r="AC104" s="10">
        <f>IF(AND(OR(M104="Amex_BTA_Ghost", M104="Single_Use_Virtual_Card"), N104="N"), "FAIL", "PASS")</f>
        <v/>
      </c>
      <c r="AD104" s="10">
        <f>IF(OR(U104="N", V104&gt;14), "FAIL", "PASS")</f>
        <v/>
      </c>
      <c r="AE104" s="10">
        <f>IF(J104&gt;25, "FAIL", "PASS")</f>
        <v/>
      </c>
      <c r="AF104" s="10">
        <f>IF(COUNTIF(Y104:AE104, "FAIL")=0, "CLEAN", "FLAGGED")</f>
        <v/>
      </c>
    </row>
    <row r="105">
      <c r="A105" s="9" t="inlineStr">
        <is>
          <t>MTG-2026-10099</t>
        </is>
      </c>
      <c r="B105" s="9" t="inlineStr">
        <is>
          <t>Vaccines_Infectious</t>
        </is>
      </c>
      <c r="C105" s="9" t="inlineStr">
        <is>
          <t>Advisory_Board</t>
        </is>
      </c>
      <c r="D105" s="9" t="inlineStr">
        <is>
          <t>CC-VAC-6311</t>
        </is>
      </c>
      <c r="E105" s="9" t="inlineStr">
        <is>
          <t>WBS-IMM-108-PH3</t>
        </is>
      </c>
      <c r="F105" s="9" t="inlineStr">
        <is>
          <t>GB</t>
        </is>
      </c>
      <c r="G105" s="9" t="inlineStr">
        <is>
          <t>2026-04-06</t>
        </is>
      </c>
      <c r="H105" s="9" t="inlineStr">
        <is>
          <t>2026-04-07</t>
        </is>
      </c>
      <c r="I105" s="9" t="n">
        <v>56</v>
      </c>
      <c r="J105" s="9" t="n">
        <v>-1.68</v>
      </c>
      <c r="K105" s="9" t="n">
        <v>87409.61</v>
      </c>
      <c r="L105" s="9" t="n">
        <v>88900</v>
      </c>
      <c r="M105" s="9" t="inlineStr">
        <is>
          <t>Corporate_T&amp;E_Card</t>
        </is>
      </c>
      <c r="N105" s="9" t="inlineStr">
        <is>
          <t>Y</t>
        </is>
      </c>
      <c r="O105" s="9" t="n">
        <v>25</v>
      </c>
      <c r="P105" s="9" t="inlineStr">
        <is>
          <t>EFPIA-GB-779445;EFPIA-GB-214675;EFPIA-GB-810032;EFPIA-GB-938913;EFPIA-GB-272337;EFPIA-GB-876459;EFPIA-GB-355761;EFPIA-GB-641058;EFPIA-GB-282927;EFPIA-GB-678719;EFPIA-GB-267914;EFPIA-GB-447067;EFPIA-GB-687044;EFPIA-GB-547080;EFPIA-GB-584498;EFPIA-GB-343118;EFPIA-GB-936507;EFPIA-GB-524723;EFPIA-GB-760351;EFPIA-GB-293411;EFPIA-GB-295440;EFPIA-GB-771590;EFPIA-GB-789237;EFPIA-GB-553125;EFPIA-GB-514798</t>
        </is>
      </c>
      <c r="Q105" s="9" t="inlineStr">
        <is>
          <t>Y</t>
        </is>
      </c>
      <c r="R105" s="9" t="inlineStr">
        <is>
          <t>Y</t>
        </is>
      </c>
      <c r="S105" s="9" t="inlineStr">
        <is>
          <t>CVT-743937</t>
        </is>
      </c>
      <c r="T105" s="9" t="inlineStr">
        <is>
          <t>EXP-2026-306909</t>
        </is>
      </c>
      <c r="U105" s="9" t="inlineStr">
        <is>
          <t>Y</t>
        </is>
      </c>
      <c r="V105" s="9" t="n">
        <v>8</v>
      </c>
      <c r="W105" s="9" t="inlineStr">
        <is>
          <t>Y</t>
        </is>
      </c>
      <c r="X105" s="9" t="inlineStr">
        <is>
          <t>Approved</t>
        </is>
      </c>
      <c r="Y105" s="10">
        <f>IF(OR(ISBLANK(A105), ISBLANK(D105), ISBLANK(E105)), "FAIL", "PASS")</f>
        <v/>
      </c>
      <c r="Z105" s="10">
        <f>IF(H105&lt;G105, "FAIL", "PASS")</f>
        <v/>
      </c>
      <c r="AA105" s="10">
        <f>IF(AND(O105&gt;0, S105=""), "FAIL", "PASS")</f>
        <v/>
      </c>
      <c r="AB105" s="10">
        <f>IF(AND(F105="US", O105&gt;0, P105=""), "FAIL", "PASS")</f>
        <v/>
      </c>
      <c r="AC105" s="10">
        <f>IF(AND(OR(M105="Amex_BTA_Ghost", M105="Single_Use_Virtual_Card"), N105="N"), "FAIL", "PASS")</f>
        <v/>
      </c>
      <c r="AD105" s="10">
        <f>IF(OR(U105="N", V105&gt;14), "FAIL", "PASS")</f>
        <v/>
      </c>
      <c r="AE105" s="10">
        <f>IF(J105&gt;25, "FAIL", "PASS")</f>
        <v/>
      </c>
      <c r="AF105" s="10">
        <f>IF(COUNTIF(Y105:AE105, "FAIL")=0, "CLEAN", "FLAGGED")</f>
        <v/>
      </c>
    </row>
    <row r="106">
      <c r="A106" s="9" t="inlineStr">
        <is>
          <t>MTG-2026-10100</t>
        </is>
      </c>
      <c r="B106" s="9" t="inlineStr">
        <is>
          <t>Oncology</t>
        </is>
      </c>
      <c r="C106" s="9" t="inlineStr">
        <is>
          <t>Advisory_Board</t>
        </is>
      </c>
      <c r="D106" s="9" t="inlineStr">
        <is>
          <t>CC-ONC-8821</t>
        </is>
      </c>
      <c r="E106" s="9" t="inlineStr">
        <is>
          <t>WBS-ONC-302-CLIN</t>
        </is>
      </c>
      <c r="F106" s="9" t="inlineStr">
        <is>
          <t>DE</t>
        </is>
      </c>
      <c r="G106" s="9" t="inlineStr">
        <is>
          <t>2026-06-11</t>
        </is>
      </c>
      <c r="H106" s="9" t="inlineStr">
        <is>
          <t>2026-06-12</t>
        </is>
      </c>
      <c r="I106" s="9" t="n">
        <v>86</v>
      </c>
      <c r="J106" s="9" t="n">
        <v>5.96</v>
      </c>
      <c r="K106" s="9" t="n">
        <v>80104.58</v>
      </c>
      <c r="L106" s="9" t="n">
        <v>75600</v>
      </c>
      <c r="M106" s="9" t="inlineStr">
        <is>
          <t>Single_Use_Virtual_Card</t>
        </is>
      </c>
      <c r="N106" s="9" t="inlineStr">
        <is>
          <t>Y</t>
        </is>
      </c>
      <c r="O106" s="9" t="n">
        <v>11</v>
      </c>
      <c r="P106" s="9" t="inlineStr">
        <is>
          <t>EFPIA-DE-375097;EFPIA-DE-803281;EFPIA-DE-613261;EFPIA-DE-653349;EFPIA-DE-770153;EFPIA-DE-428628;EFPIA-DE-725969;EFPIA-DE-507517;EFPIA-DE-741003;EFPIA-DE-511612;EFPIA-DE-715519</t>
        </is>
      </c>
      <c r="Q106" s="9" t="inlineStr">
        <is>
          <t>Y</t>
        </is>
      </c>
      <c r="R106" s="9" t="inlineStr">
        <is>
          <t>Y</t>
        </is>
      </c>
      <c r="S106" s="9" t="inlineStr">
        <is>
          <t>CVT-469082</t>
        </is>
      </c>
      <c r="T106" s="9" t="inlineStr">
        <is>
          <t>EXP-2026-986589</t>
        </is>
      </c>
      <c r="U106" s="9" t="inlineStr">
        <is>
          <t>Y</t>
        </is>
      </c>
      <c r="V106" s="9" t="n">
        <v>4</v>
      </c>
      <c r="W106" s="9" t="inlineStr">
        <is>
          <t>Y</t>
        </is>
      </c>
      <c r="X106" s="9" t="inlineStr">
        <is>
          <t>Approved</t>
        </is>
      </c>
      <c r="Y106" s="10">
        <f>IF(OR(ISBLANK(A106), ISBLANK(D106), ISBLANK(E106)), "FAIL", "PASS")</f>
        <v/>
      </c>
      <c r="Z106" s="10">
        <f>IF(H106&lt;G106, "FAIL", "PASS")</f>
        <v/>
      </c>
      <c r="AA106" s="10">
        <f>IF(AND(O106&gt;0, S106=""), "FAIL", "PASS")</f>
        <v/>
      </c>
      <c r="AB106" s="10">
        <f>IF(AND(F106="US", O106&gt;0, P106=""), "FAIL", "PASS")</f>
        <v/>
      </c>
      <c r="AC106" s="10">
        <f>IF(AND(OR(M106="Amex_BTA_Ghost", M106="Single_Use_Virtual_Card"), N106="N"), "FAIL", "PASS")</f>
        <v/>
      </c>
      <c r="AD106" s="10">
        <f>IF(OR(U106="N", V106&gt;14), "FAIL", "PASS")</f>
        <v/>
      </c>
      <c r="AE106" s="10">
        <f>IF(J106&gt;25, "FAIL", "PASS")</f>
        <v/>
      </c>
      <c r="AF106" s="10">
        <f>IF(COUNTIF(Y106:AE106, "FAIL")=0, "CLEAN", "FLAGGED")</f>
        <v/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2026-10-19T07:02:53Z</dcterms:created>
  <dcterms:modified xmlns:dcterms="http://purl.org/dc/terms/" xmlns:xsi="http://www.w3.org/2001/XMLSchema-instance" xsi:type="dcterms:W3CDTF">2026-10-19T07:02:53Z</dcterms:modified>
</cp:coreProperties>
</file>